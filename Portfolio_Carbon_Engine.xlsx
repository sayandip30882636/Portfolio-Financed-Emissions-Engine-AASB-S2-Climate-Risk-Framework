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NDIP\Downloads\"/>
    </mc:Choice>
  </mc:AlternateContent>
  <xr:revisionPtr revIDLastSave="0" documentId="13_ncr:1_{3719093E-FF52-42F6-9A23-369C58F9B984}" xr6:coauthVersionLast="47" xr6:coauthVersionMax="47" xr10:uidLastSave="{00000000-0000-0000-0000-000000000000}"/>
  <bookViews>
    <workbookView xWindow="-108" yWindow="-108" windowWidth="23256" windowHeight="13176" activeTab="1" xr2:uid="{2E64288C-E083-44EE-AF62-7A75019DBB6B}"/>
  </bookViews>
  <sheets>
    <sheet name="Sheet2" sheetId="3" r:id="rId1"/>
    <sheet name="Master_Ledger_Data" sheetId="2" r:id="rId2"/>
  </sheets>
  <definedNames>
    <definedName name="ExternalData_1" localSheetId="1" hidden="1">Master_Ledger_Data!$A$1:$Q$201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6254C-D769-4D28-BEC8-26E0F3A0E1AC}" keepAlive="1" name="Query - Master_Ledger_Data" description="Connection to the 'Master_Ledger_Data' query in the workbook." type="5" refreshedVersion="8" background="1" saveData="1">
    <dbPr connection="Provider=Microsoft.Mashup.OleDb.1;Data Source=$Workbook$;Location=Master_Ledger_Data;Extended Properties=&quot;&quot;" command="SELECT * FROM [Master_Ledger_Data]"/>
  </connection>
</connections>
</file>

<file path=xl/sharedStrings.xml><?xml version="1.0" encoding="utf-8"?>
<sst xmlns="http://schemas.openxmlformats.org/spreadsheetml/2006/main" count="1442" uniqueCount="437">
  <si>
    <t>Client_ID</t>
  </si>
  <si>
    <t>Client_Name</t>
  </si>
  <si>
    <t>Sector</t>
  </si>
  <si>
    <t>Asset_Class</t>
  </si>
  <si>
    <t>Region</t>
  </si>
  <si>
    <t>Outstanding_Balance_AUD</t>
  </si>
  <si>
    <t>Maturity_Date</t>
  </si>
  <si>
    <t>Internal_Risk_Rating</t>
  </si>
  <si>
    <t>Capital_Account_Code</t>
  </si>
  <si>
    <t>Is_SBTi_Aligned</t>
  </si>
  <si>
    <t>EVIC_AUD</t>
  </si>
  <si>
    <t>Total_Revenue_AUD</t>
  </si>
  <si>
    <t>Reported_Scope_1_2_tCO2e</t>
  </si>
  <si>
    <t>Intensity Factor (tCO2e per $1M Revenue)</t>
  </si>
  <si>
    <t>PCAF Score</t>
  </si>
  <si>
    <t>Estimated_Scope_1_2_Total</t>
  </si>
  <si>
    <t>Final_Data_Quality_Score</t>
  </si>
  <si>
    <t>MAC-CGM-2000</t>
  </si>
  <si>
    <t>Technology</t>
  </si>
  <si>
    <t>Listed Equity</t>
  </si>
  <si>
    <t>Australia</t>
  </si>
  <si>
    <t>GL-800-X</t>
  </si>
  <si>
    <t>Yes</t>
  </si>
  <si>
    <t>MAC-CGM-2005</t>
  </si>
  <si>
    <t>Unlisted Equity</t>
  </si>
  <si>
    <t>GL-559-X</t>
  </si>
  <si>
    <t>MAC-CGM-2001</t>
  </si>
  <si>
    <t>Aviation</t>
  </si>
  <si>
    <t>Corporate Loan</t>
  </si>
  <si>
    <t>Americas</t>
  </si>
  <si>
    <t>GL-314-X</t>
  </si>
  <si>
    <t>No</t>
  </si>
  <si>
    <t>MAC-CGM-2002</t>
  </si>
  <si>
    <t>Agricultural Commodities</t>
  </si>
  <si>
    <t>GL-199-X</t>
  </si>
  <si>
    <t>MAC-CGM-2004</t>
  </si>
  <si>
    <t>Commercial Real Estate</t>
  </si>
  <si>
    <t>EMEA</t>
  </si>
  <si>
    <t>GL-485-X</t>
  </si>
  <si>
    <t>In Progress</t>
  </si>
  <si>
    <t>MAC-CGM-2003</t>
  </si>
  <si>
    <t>Utilities - Gas</t>
  </si>
  <si>
    <t>Asia-Pacific</t>
  </si>
  <si>
    <t>GL-408-X</t>
  </si>
  <si>
    <t>MAC-CGM-2006</t>
  </si>
  <si>
    <t>Steel Manufacturing</t>
  </si>
  <si>
    <t>GL-660-X</t>
  </si>
  <si>
    <t>MAC-CGM-2007</t>
  </si>
  <si>
    <t>Oil &amp; Gas Exploration</t>
  </si>
  <si>
    <t>Project Finance</t>
  </si>
  <si>
    <t>GL-575-X</t>
  </si>
  <si>
    <t>MAC-CGM-2008</t>
  </si>
  <si>
    <t>GL-975-X</t>
  </si>
  <si>
    <t>MAC-CGM-2009</t>
  </si>
  <si>
    <t>GL-230-X</t>
  </si>
  <si>
    <t>MAC-CGM-2010</t>
  </si>
  <si>
    <t>GL-940-X</t>
  </si>
  <si>
    <t>MAC-CGM-2011</t>
  </si>
  <si>
    <t>GL-415-X</t>
  </si>
  <si>
    <t>MAC-CGM-2012</t>
  </si>
  <si>
    <t>GL-445-X</t>
  </si>
  <si>
    <t>MAC-CGM-2013</t>
  </si>
  <si>
    <t>GL-527-X</t>
  </si>
  <si>
    <t>MAC-CGM-2014</t>
  </si>
  <si>
    <t>GL-661-X</t>
  </si>
  <si>
    <t>MAC-CGM-2015</t>
  </si>
  <si>
    <t>Mining - Iron Ore</t>
  </si>
  <si>
    <t>GL-665-X</t>
  </si>
  <si>
    <t>MAC-CGM-2016</t>
  </si>
  <si>
    <t>Shipping &amp; Logistics</t>
  </si>
  <si>
    <t>GL-829-X</t>
  </si>
  <si>
    <t>MAC-CGM-2017</t>
  </si>
  <si>
    <t>GL-369-X</t>
  </si>
  <si>
    <t>MAC-CGM-2018</t>
  </si>
  <si>
    <t>GL-561-X</t>
  </si>
  <si>
    <t>MAC-CGM-2019</t>
  </si>
  <si>
    <t>GL-824-X</t>
  </si>
  <si>
    <t>MAC-CGM-2020</t>
  </si>
  <si>
    <t>GL-891-X</t>
  </si>
  <si>
    <t>MAC-CGM-2021</t>
  </si>
  <si>
    <t>Renewable Energy</t>
  </si>
  <si>
    <t>GL-256-X</t>
  </si>
  <si>
    <t>MAC-CGM-2022</t>
  </si>
  <si>
    <t>GL-938-X</t>
  </si>
  <si>
    <t>MAC-CGM-2023</t>
  </si>
  <si>
    <t>GL-571-X</t>
  </si>
  <si>
    <t>MAC-CGM-2024</t>
  </si>
  <si>
    <t>GL-491-X</t>
  </si>
  <si>
    <t>MAC-CGM-2025</t>
  </si>
  <si>
    <t>GL-589-X</t>
  </si>
  <si>
    <t>MAC-CGM-2026</t>
  </si>
  <si>
    <t>GL-300-X</t>
  </si>
  <si>
    <t>MAC-CGM-2027</t>
  </si>
  <si>
    <t>GL-147-X</t>
  </si>
  <si>
    <t>MAC-CGM-2028</t>
  </si>
  <si>
    <t>GL-198-X</t>
  </si>
  <si>
    <t>MAC-CGM-2029</t>
  </si>
  <si>
    <t>GL-838-X</t>
  </si>
  <si>
    <t>MAC-CGM-2030</t>
  </si>
  <si>
    <t>GL-868-X</t>
  </si>
  <si>
    <t>MAC-CGM-2031</t>
  </si>
  <si>
    <t>GL-894-X</t>
  </si>
  <si>
    <t>MAC-CGM-2032</t>
  </si>
  <si>
    <t>GL-653-X</t>
  </si>
  <si>
    <t>MAC-CGM-2033</t>
  </si>
  <si>
    <t>GL-340-X</t>
  </si>
  <si>
    <t>MAC-CGM-2034</t>
  </si>
  <si>
    <t>GL-833-X</t>
  </si>
  <si>
    <t>MAC-CGM-2035</t>
  </si>
  <si>
    <t>GL-624-X</t>
  </si>
  <si>
    <t>MAC-CGM-2036</t>
  </si>
  <si>
    <t>GL-185-X</t>
  </si>
  <si>
    <t>MAC-CGM-2037</t>
  </si>
  <si>
    <t>GL-745-X</t>
  </si>
  <si>
    <t>MAC-CGM-2038</t>
  </si>
  <si>
    <t>GL-897-X</t>
  </si>
  <si>
    <t>MAC-CGM-2039</t>
  </si>
  <si>
    <t>GL-447-X</t>
  </si>
  <si>
    <t>MAC-CGM-2040</t>
  </si>
  <si>
    <t>GL-484-X</t>
  </si>
  <si>
    <t>MAC-CGM-2041</t>
  </si>
  <si>
    <t>GL-844-X</t>
  </si>
  <si>
    <t>MAC-CGM-2042</t>
  </si>
  <si>
    <t>GL-510-X</t>
  </si>
  <si>
    <t>MAC-CGM-2043</t>
  </si>
  <si>
    <t>GL-333-X</t>
  </si>
  <si>
    <t>MAC-CGM-2044</t>
  </si>
  <si>
    <t>GL-771-X</t>
  </si>
  <si>
    <t>MAC-CGM-2045</t>
  </si>
  <si>
    <t>GL-212-X</t>
  </si>
  <si>
    <t>MAC-CGM-2046</t>
  </si>
  <si>
    <t>GL-367-X</t>
  </si>
  <si>
    <t>MAC-CGM-2047</t>
  </si>
  <si>
    <t>MAC-CGM-2048</t>
  </si>
  <si>
    <t>GL-798-X</t>
  </si>
  <si>
    <t>MAC-CGM-2049</t>
  </si>
  <si>
    <t>GL-954-X</t>
  </si>
  <si>
    <t>MAC-CGM-2050</t>
  </si>
  <si>
    <t>GL-502-X</t>
  </si>
  <si>
    <t>MAC-CGM-2051</t>
  </si>
  <si>
    <t>MAC-CGM-2052</t>
  </si>
  <si>
    <t>GL-538-X</t>
  </si>
  <si>
    <t>MAC-CGM-2053</t>
  </si>
  <si>
    <t>GL-866-X</t>
  </si>
  <si>
    <t>MAC-CGM-2054</t>
  </si>
  <si>
    <t>GL-297-X</t>
  </si>
  <si>
    <t>MAC-CGM-2055</t>
  </si>
  <si>
    <t>MAC-CGM-2056</t>
  </si>
  <si>
    <t>GL-759-X</t>
  </si>
  <si>
    <t>MAC-CGM-2057</t>
  </si>
  <si>
    <t>MAC-CGM-2058</t>
  </si>
  <si>
    <t>GL-963-X</t>
  </si>
  <si>
    <t>MAC-CGM-2059</t>
  </si>
  <si>
    <t>GL-739-X</t>
  </si>
  <si>
    <t>MAC-CGM-2060</t>
  </si>
  <si>
    <t>GL-878-X</t>
  </si>
  <si>
    <t>MAC-CGM-2061</t>
  </si>
  <si>
    <t>GL-250-X</t>
  </si>
  <si>
    <t>MAC-CGM-2062</t>
  </si>
  <si>
    <t>GL-362-X</t>
  </si>
  <si>
    <t>MAC-CGM-2063</t>
  </si>
  <si>
    <t>GL-671-X</t>
  </si>
  <si>
    <t>MAC-CGM-2064</t>
  </si>
  <si>
    <t>GL-136-X</t>
  </si>
  <si>
    <t>MAC-CGM-2065</t>
  </si>
  <si>
    <t>GL-332-X</t>
  </si>
  <si>
    <t>MAC-CGM-2066</t>
  </si>
  <si>
    <t>GL-503-X</t>
  </si>
  <si>
    <t>MAC-CGM-2067</t>
  </si>
  <si>
    <t>GL-727-X</t>
  </si>
  <si>
    <t>MAC-CGM-2068</t>
  </si>
  <si>
    <t>GL-203-X</t>
  </si>
  <si>
    <t>MAC-CGM-2069</t>
  </si>
  <si>
    <t>MAC-CGM-2070</t>
  </si>
  <si>
    <t>GL-805-X</t>
  </si>
  <si>
    <t>MAC-CGM-2071</t>
  </si>
  <si>
    <t>GL-260-X</t>
  </si>
  <si>
    <t>MAC-CGM-2072</t>
  </si>
  <si>
    <t>GL-915-X</t>
  </si>
  <si>
    <t>MAC-CGM-2073</t>
  </si>
  <si>
    <t>GL-234-X</t>
  </si>
  <si>
    <t>MAC-CGM-2074</t>
  </si>
  <si>
    <t>GL-787-X</t>
  </si>
  <si>
    <t>MAC-CGM-2075</t>
  </si>
  <si>
    <t>GL-121-X</t>
  </si>
  <si>
    <t>MAC-CGM-2076</t>
  </si>
  <si>
    <t>GL-464-X</t>
  </si>
  <si>
    <t>MAC-CGM-2077</t>
  </si>
  <si>
    <t>GL-376-X</t>
  </si>
  <si>
    <t>MAC-CGM-2078</t>
  </si>
  <si>
    <t>GL-552-X</t>
  </si>
  <si>
    <t>MAC-CGM-2079</t>
  </si>
  <si>
    <t>GL-615-X</t>
  </si>
  <si>
    <t>MAC-CGM-2080</t>
  </si>
  <si>
    <t>GL-271-X</t>
  </si>
  <si>
    <t>MAC-CGM-2081</t>
  </si>
  <si>
    <t>GL-617-X</t>
  </si>
  <si>
    <t>MAC-CGM-2082</t>
  </si>
  <si>
    <t>GL-379-X</t>
  </si>
  <si>
    <t>MAC-CGM-2083</t>
  </si>
  <si>
    <t>GL-706-X</t>
  </si>
  <si>
    <t>MAC-CGM-2084</t>
  </si>
  <si>
    <t>GL-290-X</t>
  </si>
  <si>
    <t>MAC-CGM-2085</t>
  </si>
  <si>
    <t>MAC-CGM-2086</t>
  </si>
  <si>
    <t>GL-892-X</t>
  </si>
  <si>
    <t>MAC-CGM-2087</t>
  </si>
  <si>
    <t>GL-422-X</t>
  </si>
  <si>
    <t>MAC-CGM-2088</t>
  </si>
  <si>
    <t>GL-762-X</t>
  </si>
  <si>
    <t>MAC-CGM-2089</t>
  </si>
  <si>
    <t>MAC-CGM-2090</t>
  </si>
  <si>
    <t>GL-492-X</t>
  </si>
  <si>
    <t>MAC-CGM-2091</t>
  </si>
  <si>
    <t>GL-576-X</t>
  </si>
  <si>
    <t>MAC-CGM-2092</t>
  </si>
  <si>
    <t>GL-917-X</t>
  </si>
  <si>
    <t>MAC-CGM-2093</t>
  </si>
  <si>
    <t>GL-924-X</t>
  </si>
  <si>
    <t>MAC-CGM-2094</t>
  </si>
  <si>
    <t>GL-875-X</t>
  </si>
  <si>
    <t>MAC-CGM-2095</t>
  </si>
  <si>
    <t>GL-570-X</t>
  </si>
  <si>
    <t>MAC-CGM-2096</t>
  </si>
  <si>
    <t>GL-899-X</t>
  </si>
  <si>
    <t>MAC-CGM-2097</t>
  </si>
  <si>
    <t>GL-764-X</t>
  </si>
  <si>
    <t>MAC-CGM-2098</t>
  </si>
  <si>
    <t>GL-413-X</t>
  </si>
  <si>
    <t>MAC-CGM-2099</t>
  </si>
  <si>
    <t>GL-781-X</t>
  </si>
  <si>
    <t>MAC-CGM-2100</t>
  </si>
  <si>
    <t>GL-363-X</t>
  </si>
  <si>
    <t>MAC-CGM-2101</t>
  </si>
  <si>
    <t>GL-202-X</t>
  </si>
  <si>
    <t>MAC-CGM-2102</t>
  </si>
  <si>
    <t>GL-449-X</t>
  </si>
  <si>
    <t>MAC-CGM-2103</t>
  </si>
  <si>
    <t>GL-919-X</t>
  </si>
  <si>
    <t>MAC-CGM-2104</t>
  </si>
  <si>
    <t>GL-769-X</t>
  </si>
  <si>
    <t>MAC-CGM-2105</t>
  </si>
  <si>
    <t>GL-703-X</t>
  </si>
  <si>
    <t>MAC-CGM-2106</t>
  </si>
  <si>
    <t>GL-573-X</t>
  </si>
  <si>
    <t>MAC-CGM-2107</t>
  </si>
  <si>
    <t>GL-740-X</t>
  </si>
  <si>
    <t>MAC-CGM-2108</t>
  </si>
  <si>
    <t>GL-195-X</t>
  </si>
  <si>
    <t>MAC-CGM-2109</t>
  </si>
  <si>
    <t>GL-587-X</t>
  </si>
  <si>
    <t>MAC-CGM-2110</t>
  </si>
  <si>
    <t>GL-803-X</t>
  </si>
  <si>
    <t>MAC-CGM-2111</t>
  </si>
  <si>
    <t>GL-175-X</t>
  </si>
  <si>
    <t>MAC-CGM-2112</t>
  </si>
  <si>
    <t>MAC-CGM-2113</t>
  </si>
  <si>
    <t>GL-146-X</t>
  </si>
  <si>
    <t>MAC-CGM-2114</t>
  </si>
  <si>
    <t>MAC-CGM-2115</t>
  </si>
  <si>
    <t>GL-531-X</t>
  </si>
  <si>
    <t>MAC-CGM-2116</t>
  </si>
  <si>
    <t>GL-353-X</t>
  </si>
  <si>
    <t>MAC-CGM-2117</t>
  </si>
  <si>
    <t>GL-621-X</t>
  </si>
  <si>
    <t>MAC-CGM-2118</t>
  </si>
  <si>
    <t>GL-279-X</t>
  </si>
  <si>
    <t>MAC-CGM-2119</t>
  </si>
  <si>
    <t>GL-541-X</t>
  </si>
  <si>
    <t>MAC-CGM-2120</t>
  </si>
  <si>
    <t>MAC-CGM-2121</t>
  </si>
  <si>
    <t>GL-357-X</t>
  </si>
  <si>
    <t>MAC-CGM-2122</t>
  </si>
  <si>
    <t>GL-763-X</t>
  </si>
  <si>
    <t>MAC-CGM-2123</t>
  </si>
  <si>
    <t>GL-790-X</t>
  </si>
  <si>
    <t>MAC-CGM-2124</t>
  </si>
  <si>
    <t>GL-676-X</t>
  </si>
  <si>
    <t>MAC-CGM-2125</t>
  </si>
  <si>
    <t>GL-352-X</t>
  </si>
  <si>
    <t>MAC-CGM-2126</t>
  </si>
  <si>
    <t>GL-948-X</t>
  </si>
  <si>
    <t>MAC-CGM-2127</t>
  </si>
  <si>
    <t>GL-701-X</t>
  </si>
  <si>
    <t>MAC-CGM-2128</t>
  </si>
  <si>
    <t>GL-295-X</t>
  </si>
  <si>
    <t>MAC-CGM-2129</t>
  </si>
  <si>
    <t>GL-519-X</t>
  </si>
  <si>
    <t>MAC-CGM-2130</t>
  </si>
  <si>
    <t>GL-775-X</t>
  </si>
  <si>
    <t>MAC-CGM-2131</t>
  </si>
  <si>
    <t>GL-291-X</t>
  </si>
  <si>
    <t>MAC-CGM-2132</t>
  </si>
  <si>
    <t>MAC-CGM-2133</t>
  </si>
  <si>
    <t>GL-879-X</t>
  </si>
  <si>
    <t>MAC-CGM-2134</t>
  </si>
  <si>
    <t>GL-316-X</t>
  </si>
  <si>
    <t>MAC-CGM-2135</t>
  </si>
  <si>
    <t>GL-980-X</t>
  </si>
  <si>
    <t>MAC-CGM-2136</t>
  </si>
  <si>
    <t>GL-441-X</t>
  </si>
  <si>
    <t>MAC-CGM-2137</t>
  </si>
  <si>
    <t>GL-711-X</t>
  </si>
  <si>
    <t>MAC-CGM-2138</t>
  </si>
  <si>
    <t>MAC-CGM-2139</t>
  </si>
  <si>
    <t>GL-950-X</t>
  </si>
  <si>
    <t>MAC-CGM-2140</t>
  </si>
  <si>
    <t>GL-168-X</t>
  </si>
  <si>
    <t>MAC-CGM-2141</t>
  </si>
  <si>
    <t>GL-990-X</t>
  </si>
  <si>
    <t>MAC-CGM-2142</t>
  </si>
  <si>
    <t>GL-138-X</t>
  </si>
  <si>
    <t>MAC-CGM-2143</t>
  </si>
  <si>
    <t>GL-497-X</t>
  </si>
  <si>
    <t>MAC-CGM-2144</t>
  </si>
  <si>
    <t>MAC-CGM-2145</t>
  </si>
  <si>
    <t>GL-173-X</t>
  </si>
  <si>
    <t>MAC-CGM-2146</t>
  </si>
  <si>
    <t>GL-618-X</t>
  </si>
  <si>
    <t>MAC-CGM-2147</t>
  </si>
  <si>
    <t>MAC-CGM-2148</t>
  </si>
  <si>
    <t>GL-616-X</t>
  </si>
  <si>
    <t>MAC-CGM-2149</t>
  </si>
  <si>
    <t>GL-747-X</t>
  </si>
  <si>
    <t>MAC-CGM-2150</t>
  </si>
  <si>
    <t>GL-599-X</t>
  </si>
  <si>
    <t>MAC-CGM-2151</t>
  </si>
  <si>
    <t>GL-400-X</t>
  </si>
  <si>
    <t>MAC-CGM-2152</t>
  </si>
  <si>
    <t>GL-544-X</t>
  </si>
  <si>
    <t>MAC-CGM-2153</t>
  </si>
  <si>
    <t>GL-957-X</t>
  </si>
  <si>
    <t>MAC-CGM-2154</t>
  </si>
  <si>
    <t>GL-272-X</t>
  </si>
  <si>
    <t>MAC-CGM-2155</t>
  </si>
  <si>
    <t>MAC-CGM-2156</t>
  </si>
  <si>
    <t>GL-100-X</t>
  </si>
  <si>
    <t>MAC-CGM-2157</t>
  </si>
  <si>
    <t>MAC-CGM-2158</t>
  </si>
  <si>
    <t>GL-216-X</t>
  </si>
  <si>
    <t>MAC-CGM-2159</t>
  </si>
  <si>
    <t>GL-179-X</t>
  </si>
  <si>
    <t>MAC-CGM-2160</t>
  </si>
  <si>
    <t>MAC-CGM-2161</t>
  </si>
  <si>
    <t>GL-501-X</t>
  </si>
  <si>
    <t>MAC-CGM-2162</t>
  </si>
  <si>
    <t>GL-472-X</t>
  </si>
  <si>
    <t>MAC-CGM-2163</t>
  </si>
  <si>
    <t>GL-111-X</t>
  </si>
  <si>
    <t>MAC-CGM-2164</t>
  </si>
  <si>
    <t>GL-457-X</t>
  </si>
  <si>
    <t>MAC-CGM-2165</t>
  </si>
  <si>
    <t>GL-107-X</t>
  </si>
  <si>
    <t>MAC-CGM-2166</t>
  </si>
  <si>
    <t>MAC-CGM-2167</t>
  </si>
  <si>
    <t>GL-140-X</t>
  </si>
  <si>
    <t>MAC-CGM-2168</t>
  </si>
  <si>
    <t>GL-244-X</t>
  </si>
  <si>
    <t>MAC-CGM-2169</t>
  </si>
  <si>
    <t>GL-560-X</t>
  </si>
  <si>
    <t>MAC-CGM-2170</t>
  </si>
  <si>
    <t>MAC-CGM-2171</t>
  </si>
  <si>
    <t>GL-914-X</t>
  </si>
  <si>
    <t>MAC-CGM-2172</t>
  </si>
  <si>
    <t>MAC-CGM-2173</t>
  </si>
  <si>
    <t>GL-218-X</t>
  </si>
  <si>
    <t>MAC-CGM-2174</t>
  </si>
  <si>
    <t>GL-245-X</t>
  </si>
  <si>
    <t>MAC-CGM-2175</t>
  </si>
  <si>
    <t>GL-381-X</t>
  </si>
  <si>
    <t>MAC-CGM-2176</t>
  </si>
  <si>
    <t>MAC-CGM-2177</t>
  </si>
  <si>
    <t>GL-610-X</t>
  </si>
  <si>
    <t>MAC-CGM-2178</t>
  </si>
  <si>
    <t>MAC-CGM-2179</t>
  </si>
  <si>
    <t>GL-870-X</t>
  </si>
  <si>
    <t>MAC-CGM-2180</t>
  </si>
  <si>
    <t>GL-776-X</t>
  </si>
  <si>
    <t>MAC-CGM-2181</t>
  </si>
  <si>
    <t>GL-184-X</t>
  </si>
  <si>
    <t>MAC-CGM-2182</t>
  </si>
  <si>
    <t>GL-150-X</t>
  </si>
  <si>
    <t>MAC-CGM-2183</t>
  </si>
  <si>
    <t>MAC-CGM-2184</t>
  </si>
  <si>
    <t>GL-650-X</t>
  </si>
  <si>
    <t>MAC-CGM-2185</t>
  </si>
  <si>
    <t>GL-217-X</t>
  </si>
  <si>
    <t>MAC-CGM-2186</t>
  </si>
  <si>
    <t>GL-153-X</t>
  </si>
  <si>
    <t>MAC-CGM-2187</t>
  </si>
  <si>
    <t>GL-500-X</t>
  </si>
  <si>
    <t>MAC-CGM-2188</t>
  </si>
  <si>
    <t>GL-306-X</t>
  </si>
  <si>
    <t>MAC-CGM-2189</t>
  </si>
  <si>
    <t>MAC-CGM-2190</t>
  </si>
  <si>
    <t>GL-905-X</t>
  </si>
  <si>
    <t>MAC-CGM-2191</t>
  </si>
  <si>
    <t>GL-546-X</t>
  </si>
  <si>
    <t>MAC-CGM-2192</t>
  </si>
  <si>
    <t>GL-580-X</t>
  </si>
  <si>
    <t>MAC-CGM-2193</t>
  </si>
  <si>
    <t>GL-205-X</t>
  </si>
  <si>
    <t>MAC-CGM-2194</t>
  </si>
  <si>
    <t>GL-237-X</t>
  </si>
  <si>
    <t>MAC-CGM-2195</t>
  </si>
  <si>
    <t>GL-607-X</t>
  </si>
  <si>
    <t>MAC-CGM-2196</t>
  </si>
  <si>
    <t>GL-873-X</t>
  </si>
  <si>
    <t>MAC-CGM-2197</t>
  </si>
  <si>
    <t>GL-210-X</t>
  </si>
  <si>
    <t>MAC-CGM-2198</t>
  </si>
  <si>
    <t>GL-619-X</t>
  </si>
  <si>
    <t>MAC-CGM-2199</t>
  </si>
  <si>
    <t>GL-380-X</t>
  </si>
  <si>
    <t>Financed_Emissions_tCO2e</t>
  </si>
  <si>
    <t>Row Labels</t>
  </si>
  <si>
    <t>Grand Total</t>
  </si>
  <si>
    <t>Sum of Financed_Emissions_tCO2e</t>
  </si>
  <si>
    <t>Column Labels</t>
  </si>
  <si>
    <t>Executive Summary</t>
  </si>
  <si>
    <t>Sectors</t>
  </si>
  <si>
    <t>Transition Risk</t>
  </si>
  <si>
    <t>BHP Group Limited</t>
  </si>
  <si>
    <t>Rio Tinto Group</t>
  </si>
  <si>
    <t>Woodside Energy Group Ltd</t>
  </si>
  <si>
    <t>Westpac Banking Corporation</t>
  </si>
  <si>
    <t>Telstra Group Limited</t>
  </si>
  <si>
    <t>Commonwealth Bank of Australia</t>
  </si>
  <si>
    <t>National Australia Bank Limited</t>
  </si>
  <si>
    <t>ANZ Group Holdings Limited</t>
  </si>
  <si>
    <t>Macquarie Group Limited</t>
  </si>
  <si>
    <t>Fortescue Ltd</t>
  </si>
  <si>
    <t>CSL Limited</t>
  </si>
  <si>
    <t>Woolworths Group Limited</t>
  </si>
  <si>
    <t>Transurban Group</t>
  </si>
  <si>
    <t>ASX Limited</t>
  </si>
  <si>
    <t>Xero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</si>
</sst>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[Portfolio_Carbon_Engine.xlsx]Sheet2!PivotTable1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Most Carbon-Intensive Sectors.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Renewable Energy</c:v>
                </c:pt>
                <c:pt idx="1">
                  <c:v>Technology</c:v>
                </c:pt>
                <c:pt idx="2">
                  <c:v>Commercial Real Estate</c:v>
                </c:pt>
                <c:pt idx="3">
                  <c:v>Mining - Iron Ore</c:v>
                </c:pt>
                <c:pt idx="4">
                  <c:v>Aviation</c:v>
                </c:pt>
                <c:pt idx="5">
                  <c:v>Shipping &amp; Logistics</c:v>
                </c:pt>
                <c:pt idx="6">
                  <c:v>Agricultural Commodities</c:v>
                </c:pt>
                <c:pt idx="7">
                  <c:v>Oil &amp; Gas Exploration</c:v>
                </c:pt>
                <c:pt idx="8">
                  <c:v>Steel Manufacturing</c:v>
                </c:pt>
                <c:pt idx="9">
                  <c:v>Utilities - Gas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5414.357663499859</c:v>
                </c:pt>
                <c:pt idx="1">
                  <c:v>8464.9090406752875</c:v>
                </c:pt>
                <c:pt idx="2">
                  <c:v>48808.145184006295</c:v>
                </c:pt>
                <c:pt idx="3">
                  <c:v>69076.075502143212</c:v>
                </c:pt>
                <c:pt idx="4">
                  <c:v>129720.87016819615</c:v>
                </c:pt>
                <c:pt idx="5">
                  <c:v>163424.65006185195</c:v>
                </c:pt>
                <c:pt idx="6">
                  <c:v>435416.28527696052</c:v>
                </c:pt>
                <c:pt idx="7">
                  <c:v>493649.93502822495</c:v>
                </c:pt>
                <c:pt idx="8">
                  <c:v>679101.40907366259</c:v>
                </c:pt>
                <c:pt idx="9">
                  <c:v>785383.94052059215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8-4790-B7BC-23294BCD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8116336"/>
        <c:axId val="468112976"/>
      </c:barChart>
      <c:catAx>
        <c:axId val="46811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12976"/>
        <c:crosses val="autoZero"/>
        <c:auto val="1"/>
        <c:lblAlgn val="ctr"/>
        <c:lblOffset val="100"/>
        <c:noMultiLvlLbl val="0"/>
      </c:catAx>
      <c:valAx>
        <c:axId val="46811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1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0</xdr:rowOff>
    </xdr:from>
    <xdr:to>
      <xdr:col>8</xdr:col>
      <xdr:colOff>365760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09C9D-F44B-24FA-7D56-0CCBEDEEB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ANDIP" refreshedDate="46058.011518981482" createdVersion="8" refreshedVersion="8" minRefreshableVersion="3" recordCount="201" xr:uid="{439D65B2-DC2D-44D9-AD54-4C8C585EFDF9}">
  <cacheSource type="worksheet">
    <worksheetSource ref="A1:R1048576" sheet="Master_Ledger_Data"/>
  </cacheSource>
  <cacheFields count="18">
    <cacheField name="Client_ID" numFmtId="0">
      <sharedItems containsBlank="1"/>
    </cacheField>
    <cacheField name="Client_Name" numFmtId="0">
      <sharedItems containsBlank="1"/>
    </cacheField>
    <cacheField name="Sector" numFmtId="0">
      <sharedItems containsBlank="1" count="11">
        <s v="Technology"/>
        <s v="Aviation"/>
        <s v="Agricultural Commodities"/>
        <s v="Commercial Real Estate"/>
        <s v="Utilities - Gas"/>
        <s v="Steel Manufacturing"/>
        <s v="Oil &amp; Gas Exploration"/>
        <s v="Mining - Iron Ore"/>
        <s v="Shipping &amp; Logistics"/>
        <s v="Renewable Energy"/>
        <m/>
      </sharedItems>
    </cacheField>
    <cacheField name="Asset_Class" numFmtId="0">
      <sharedItems containsBlank="1"/>
    </cacheField>
    <cacheField name="Region" numFmtId="0">
      <sharedItems containsBlank="1" count="5">
        <s v="Australia"/>
        <s v="Americas"/>
        <s v="EMEA"/>
        <s v="Asia-Pacific"/>
        <m/>
      </sharedItems>
    </cacheField>
    <cacheField name="Outstanding_Balance_AUD" numFmtId="0">
      <sharedItems containsString="0" containsBlank="1" containsNumber="1" minValue="10364637.48" maxValue="493701684.00999999"/>
    </cacheField>
    <cacheField name="Maturity_Date" numFmtId="0">
      <sharedItems containsNonDate="0" containsDate="1" containsString="0" containsBlank="1" minDate="2026-02-09T00:00:00" maxDate="2035-11-23T00:00:00"/>
    </cacheField>
    <cacheField name="Internal_Risk_Rating" numFmtId="0">
      <sharedItems containsString="0" containsBlank="1" containsNumber="1" containsInteger="1" minValue="1" maxValue="10" count="11">
        <n v="8"/>
        <n v="1"/>
        <n v="3"/>
        <n v="5"/>
        <n v="6"/>
        <n v="9"/>
        <n v="10"/>
        <n v="7"/>
        <n v="2"/>
        <n v="4"/>
        <m/>
      </sharedItems>
    </cacheField>
    <cacheField name="Capital_Account_Code" numFmtId="0">
      <sharedItems containsBlank="1"/>
    </cacheField>
    <cacheField name="Is_SBTi_Aligned" numFmtId="0">
      <sharedItems containsBlank="1"/>
    </cacheField>
    <cacheField name="EVIC_AUD" numFmtId="0">
      <sharedItems containsString="0" containsBlank="1" containsNumber="1" minValue="15296014.060000001" maxValue="17396159092.23"/>
    </cacheField>
    <cacheField name="Total_Revenue_AUD" numFmtId="0">
      <sharedItems containsString="0" containsBlank="1" containsNumber="1" minValue="6149998.7400000002" maxValue="1266598373.8599999"/>
    </cacheField>
    <cacheField name="Reported_Scope_1_2_tCO2e" numFmtId="0">
      <sharedItems containsString="0" containsBlank="1" containsNumber="1" minValue="123" maxValue="314451.74"/>
    </cacheField>
    <cacheField name="Intensity Factor (tCO2e per $1M Revenue)" numFmtId="0">
      <sharedItems containsString="0" containsBlank="1" containsNumber="1" containsInteger="1" minValue="15" maxValue="1850"/>
    </cacheField>
    <cacheField name="PCAF Score" numFmtId="0">
      <sharedItems containsString="0" containsBlank="1" containsNumber="1" minValue="4" maxValue="5"/>
    </cacheField>
    <cacheField name="Estimated_Scope_1_2_Total" numFmtId="0">
      <sharedItems containsString="0" containsBlank="1" containsNumber="1" minValue="123" maxValue="314451.74"/>
    </cacheField>
    <cacheField name="Final_Data_Quality_Score" numFmtId="0">
      <sharedItems containsString="0" containsBlank="1" containsNumber="1" minValue="2" maxValue="5"/>
    </cacheField>
    <cacheField name="Financed_Emissions_tCO2e" numFmtId="0">
      <sharedItems containsString="0" containsBlank="1" containsNumber="1" minValue="21.256754877907543" maxValue="104652.39347579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MAC-CGM-2000"/>
    <s v="Counterparty_000"/>
    <x v="0"/>
    <s v="Listed Equity"/>
    <x v="0"/>
    <n v="190397358.83000001"/>
    <d v="2028-06-09T00:00:00"/>
    <x v="0"/>
    <s v="GL-800-X"/>
    <s v="Yes"/>
    <n v="3227813560.8899999"/>
    <n v="273477302.93000001"/>
    <n v="5469.55"/>
    <n v="25"/>
    <n v="5"/>
    <n v="5469.55"/>
    <n v="2"/>
    <n v="322.62949961133643"/>
  </r>
  <r>
    <s v="MAC-CGM-2005"/>
    <s v="Counterparty_005"/>
    <x v="0"/>
    <s v="Unlisted Equity"/>
    <x v="0"/>
    <n v="95003358.769999996"/>
    <d v="2032-06-12T00:00:00"/>
    <x v="1"/>
    <s v="GL-559-X"/>
    <s v="Yes"/>
    <n v="839313697.63999999"/>
    <n v="91061790.510000005"/>
    <n v="4461.59"/>
    <n v="25"/>
    <n v="5"/>
    <n v="4461.59"/>
    <n v="5"/>
    <n v="505.01503388599491"/>
  </r>
  <r>
    <s v="MAC-CGM-2001"/>
    <s v="Counterparty_001"/>
    <x v="1"/>
    <s v="Corporate Loan"/>
    <x v="1"/>
    <n v="300440828.18000001"/>
    <d v="2032-01-09T00:00:00"/>
    <x v="2"/>
    <s v="GL-314-X"/>
    <s v="No"/>
    <n v="1758941875.6500001"/>
    <n v="599874041.05999994"/>
    <n v="31523.905999999999"/>
    <n v="850"/>
    <n v="4"/>
    <n v="31523.905999999999"/>
    <n v="4"/>
    <n v="5384.5260933415029"/>
  </r>
  <r>
    <s v="MAC-CGM-2002"/>
    <s v="Counterparty_002"/>
    <x v="2"/>
    <s v="Corporate Loan"/>
    <x v="1"/>
    <n v="33751388.020000003"/>
    <d v="2031-12-06T00:00:00"/>
    <x v="3"/>
    <s v="GL-199-X"/>
    <s v="No"/>
    <n v="42442784.149999999"/>
    <n v="21776700.34"/>
    <n v="3266.51"/>
    <n v="1136"/>
    <n v="4"/>
    <n v="3266.51"/>
    <n v="2"/>
    <n v="2597.5969458452746"/>
  </r>
  <r>
    <s v="MAC-CGM-2004"/>
    <s v="Counterparty_004"/>
    <x v="3"/>
    <s v="Unlisted Equity"/>
    <x v="2"/>
    <n v="485105376.81999999"/>
    <d v="2030-03-26T00:00:00"/>
    <x v="4"/>
    <s v="GL-485-X"/>
    <s v="In Progress"/>
    <n v="17396159092.23"/>
    <n v="1252108690.78"/>
    <n v="50059.561999999991"/>
    <n v="280"/>
    <n v="4"/>
    <n v="50059.561999999991"/>
    <n v="4"/>
    <n v="1395.9496782425194"/>
  </r>
  <r>
    <s v="MAC-CGM-2003"/>
    <s v="Counterparty_003"/>
    <x v="4"/>
    <s v="Listed Equity"/>
    <x v="3"/>
    <n v="75719074.870000005"/>
    <d v="2026-06-10T00:00:00"/>
    <x v="4"/>
    <s v="GL-408-X"/>
    <s v="Yes"/>
    <n v="83359312.930000007"/>
    <n v="171896038.75999999"/>
    <n v="25784.41"/>
    <n v="1136"/>
    <n v="4"/>
    <n v="25784.41"/>
    <n v="2"/>
    <n v="23421.158388244607"/>
  </r>
  <r>
    <s v="MAC-CGM-2006"/>
    <s v="Counterparty_006"/>
    <x v="5"/>
    <s v="Listed Equity"/>
    <x v="3"/>
    <n v="307768314.44"/>
    <d v="2032-05-19T00:00:00"/>
    <x v="5"/>
    <s v="GL-660-X"/>
    <s v="No"/>
    <n v="401064511.12"/>
    <n v="486231633.01999998"/>
    <n v="72934.740000000005"/>
    <n v="1136"/>
    <n v="4"/>
    <n v="72934.740000000005"/>
    <n v="2"/>
    <n v="55968.557106274158"/>
  </r>
  <r>
    <s v="MAC-CGM-2007"/>
    <s v="Counterparty_007"/>
    <x v="6"/>
    <s v="Project Finance"/>
    <x v="1"/>
    <n v="264763456.83000001"/>
    <d v="2033-02-01T00:00:00"/>
    <x v="6"/>
    <s v="GL-575-X"/>
    <s v="No"/>
    <n v="1545230429.5799999"/>
    <n v="224713920.30000001"/>
    <n v="159987.52599999998"/>
    <n v="1850"/>
    <n v="4"/>
    <n v="159987.52599999998"/>
    <n v="4"/>
    <n v="27412.643203611264"/>
  </r>
  <r>
    <s v="MAC-CGM-2008"/>
    <s v="Counterparty_008"/>
    <x v="6"/>
    <s v="Listed Equity"/>
    <x v="3"/>
    <n v="487008981.82999998"/>
    <d v="2031-01-11T00:00:00"/>
    <x v="2"/>
    <s v="GL-975-X"/>
    <s v="Yes"/>
    <n v="6674228041.5799999"/>
    <n v="798779937.55999994"/>
    <n v="159987.52599999998"/>
    <n v="1850"/>
    <n v="4"/>
    <n v="159987.52599999998"/>
    <n v="4"/>
    <n v="11674.063525752055"/>
  </r>
  <r>
    <s v="MAC-CGM-2009"/>
    <s v="Counterparty_009"/>
    <x v="1"/>
    <s v="Unlisted Equity"/>
    <x v="2"/>
    <n v="259546047.00999999"/>
    <d v="2033-12-19T00:00:00"/>
    <x v="5"/>
    <s v="GL-230-X"/>
    <s v="No"/>
    <n v="1633949298.04"/>
    <n v="463441812.81999999"/>
    <n v="31523.905999999999"/>
    <n v="850"/>
    <n v="4"/>
    <n v="31523.905999999999"/>
    <n v="4"/>
    <n v="5007.441294799909"/>
  </r>
  <r>
    <s v="MAC-CGM-2010"/>
    <s v="Counterparty_010"/>
    <x v="1"/>
    <s v="Listed Equity"/>
    <x v="2"/>
    <n v="430670501.32999998"/>
    <d v="2027-11-08T00:00:00"/>
    <x v="3"/>
    <s v="GL-940-X"/>
    <s v="Yes"/>
    <n v="2566582996.9200001"/>
    <n v="869464365.53999996"/>
    <n v="31523.905999999999"/>
    <n v="850"/>
    <n v="4"/>
    <n v="31523.905999999999"/>
    <n v="4"/>
    <n v="5289.6853198170584"/>
  </r>
  <r>
    <s v="MAC-CGM-2011"/>
    <s v="Counterparty_011"/>
    <x v="1"/>
    <s v="Corporate Loan"/>
    <x v="2"/>
    <n v="37200538.530000001"/>
    <d v="2032-10-01T00:00:00"/>
    <x v="5"/>
    <s v="GL-415-X"/>
    <s v="Yes"/>
    <n v="430945321.68000001"/>
    <n v="106847901.73999999"/>
    <n v="16027.19"/>
    <n v="850"/>
    <n v="4"/>
    <n v="16027.19"/>
    <n v="2"/>
    <n v="1383.5168155401304"/>
  </r>
  <r>
    <s v="MAC-CGM-2012"/>
    <s v="Counterparty_012"/>
    <x v="6"/>
    <s v="Corporate Loan"/>
    <x v="2"/>
    <n v="283827667.82999998"/>
    <d v="2031-09-03T00:00:00"/>
    <x v="5"/>
    <s v="GL-445-X"/>
    <s v="No"/>
    <n v="2253267193.6199999"/>
    <n v="358058373.14999998"/>
    <n v="179029.19"/>
    <n v="1850"/>
    <n v="4"/>
    <n v="179029.19"/>
    <n v="2"/>
    <n v="22551.00398881649"/>
  </r>
  <r>
    <s v="MAC-CGM-2013"/>
    <s v="Counterparty_013"/>
    <x v="4"/>
    <s v="Project Finance"/>
    <x v="1"/>
    <n v="53347696.43"/>
    <d v="2029-10-25T00:00:00"/>
    <x v="7"/>
    <s v="GL-527-X"/>
    <s v="No"/>
    <n v="58682466.07"/>
    <n v="85376652.260000005"/>
    <n v="50221.180256410262"/>
    <n v="732"/>
    <n v="4.1760000000000002"/>
    <n v="50221.180256410262"/>
    <n v="3.0759493670886076"/>
    <n v="45655.618417252459"/>
  </r>
  <r>
    <s v="MAC-CGM-2014"/>
    <s v="Counterparty_014"/>
    <x v="6"/>
    <s v="Project Finance"/>
    <x v="1"/>
    <n v="250112570.50999999"/>
    <d v="2026-03-06T00:00:00"/>
    <x v="1"/>
    <s v="GL-661-X"/>
    <s v="Yes"/>
    <n v="1279159422.95"/>
    <n v="146558788.78999999"/>
    <n v="159987.52599999998"/>
    <n v="1850"/>
    <n v="4"/>
    <n v="159987.52599999998"/>
    <n v="4"/>
    <n v="31282.176919834612"/>
  </r>
  <r>
    <s v="MAC-CGM-2015"/>
    <s v="Counterparty_015"/>
    <x v="7"/>
    <s v="Project Finance"/>
    <x v="0"/>
    <n v="332948530.75999999"/>
    <d v="2034-07-01T00:00:00"/>
    <x v="4"/>
    <s v="GL-665-X"/>
    <s v="Yes"/>
    <n v="4182361137.96"/>
    <n v="717938818.30999994"/>
    <n v="56434.683999999994"/>
    <n v="1200"/>
    <n v="4"/>
    <n v="56434.683999999994"/>
    <n v="4"/>
    <n v="4492.6405209641616"/>
  </r>
  <r>
    <s v="MAC-CGM-2016"/>
    <s v="Counterparty_016"/>
    <x v="8"/>
    <s v="Project Finance"/>
    <x v="1"/>
    <n v="275621588.26999998"/>
    <d v="2030-03-11T00:00:00"/>
    <x v="8"/>
    <s v="GL-829-X"/>
    <s v="Yes"/>
    <n v="1528856731.1099999"/>
    <n v="514523682.93000001"/>
    <n v="77178.55"/>
    <n v="1136"/>
    <n v="4"/>
    <n v="77178.55"/>
    <n v="2"/>
    <n v="13913.71349487495"/>
  </r>
  <r>
    <s v="MAC-CGM-2017"/>
    <s v="Counterparty_017"/>
    <x v="5"/>
    <s v="Listed Equity"/>
    <x v="0"/>
    <n v="227628296.02000001"/>
    <d v="2026-08-20T00:00:00"/>
    <x v="9"/>
    <s v="GL-369-X"/>
    <s v="No"/>
    <n v="587226762.63"/>
    <n v="554919557.44000006"/>
    <n v="83237.929999999993"/>
    <n v="1136"/>
    <n v="4"/>
    <n v="83237.929999999993"/>
    <n v="2"/>
    <n v="32265.743620527672"/>
  </r>
  <r>
    <s v="MAC-CGM-2018"/>
    <s v="Counterparty_018"/>
    <x v="2"/>
    <s v="Project Finance"/>
    <x v="2"/>
    <n v="364999637.94999999"/>
    <d v="2035-03-27T00:00:00"/>
    <x v="0"/>
    <s v="GL-561-X"/>
    <s v="No"/>
    <n v="1446609548.71"/>
    <n v="728083008.47000003"/>
    <n v="50221.180256410262"/>
    <n v="732"/>
    <n v="4.1760000000000002"/>
    <n v="50221.180256410262"/>
    <n v="3.0759493670886076"/>
    <n v="12671.499802664559"/>
  </r>
  <r>
    <s v="MAC-CGM-2019"/>
    <s v="Counterparty_019"/>
    <x v="5"/>
    <s v="Corporate Loan"/>
    <x v="2"/>
    <n v="102011516.90000001"/>
    <d v="2028-11-12T00:00:00"/>
    <x v="0"/>
    <s v="GL-824-X"/>
    <s v="In Progress"/>
    <n v="112212668.59"/>
    <n v="100987031.15000001"/>
    <n v="50221.180256410262"/>
    <n v="732"/>
    <n v="4.1760000000000002"/>
    <n v="50221.180256410262"/>
    <n v="3.0759493670886076"/>
    <n v="45655.618414918419"/>
  </r>
  <r>
    <s v="MAC-CGM-2020"/>
    <s v="Counterparty_020"/>
    <x v="5"/>
    <s v="Unlisted Equity"/>
    <x v="0"/>
    <n v="197395258.40000001"/>
    <d v="2027-01-03T00:00:00"/>
    <x v="3"/>
    <s v="GL-891-X"/>
    <s v="No"/>
    <n v="237541986.27000001"/>
    <n v="290505264.27999997"/>
    <n v="43575.79"/>
    <n v="1136"/>
    <n v="4"/>
    <n v="43575.79"/>
    <n v="2"/>
    <n v="36211.090351232233"/>
  </r>
  <r>
    <s v="MAC-CGM-2021"/>
    <s v="Counterparty_021"/>
    <x v="9"/>
    <s v="Corporate Loan"/>
    <x v="1"/>
    <n v="181592896.71000001"/>
    <d v="2028-03-04T00:00:00"/>
    <x v="5"/>
    <s v="GL-256-X"/>
    <s v="In Progress"/>
    <n v="2767296788.7600002"/>
    <n v="252756123.37"/>
    <n v="6167.4220000000005"/>
    <n v="15"/>
    <n v="4"/>
    <n v="6167.4220000000005"/>
    <n v="4"/>
    <n v="404.71265343202504"/>
  </r>
  <r>
    <s v="MAC-CGM-2022"/>
    <s v="Counterparty_022"/>
    <x v="6"/>
    <s v="Project Finance"/>
    <x v="1"/>
    <n v="402087505.47000003"/>
    <d v="2026-04-05T00:00:00"/>
    <x v="5"/>
    <s v="GL-938-X"/>
    <s v="Yes"/>
    <n v="2880967533.1700001"/>
    <n v="342703427.94"/>
    <n v="159987.52599999998"/>
    <n v="1850"/>
    <n v="4"/>
    <n v="159987.52599999998"/>
    <n v="4"/>
    <n v="22328.951817403507"/>
  </r>
  <r>
    <s v="MAC-CGM-2023"/>
    <s v="Counterparty_023"/>
    <x v="1"/>
    <s v="Listed Equity"/>
    <x v="0"/>
    <n v="214583732.94999999"/>
    <d v="2029-03-28T00:00:00"/>
    <x v="0"/>
    <s v="GL-571-X"/>
    <s v="In Progress"/>
    <n v="2400582499.3800001"/>
    <n v="636716573.61000001"/>
    <n v="31523.905999999999"/>
    <n v="850"/>
    <n v="4"/>
    <n v="31523.905999999999"/>
    <n v="4"/>
    <n v="2817.8650091767222"/>
  </r>
  <r>
    <s v="MAC-CGM-2024"/>
    <s v="Counterparty_024"/>
    <x v="0"/>
    <s v="Listed Equity"/>
    <x v="1"/>
    <n v="11969512.24"/>
    <d v="2030-04-02T00:00:00"/>
    <x v="1"/>
    <s v="GL-491-X"/>
    <s v="No"/>
    <n v="69260336.959999993"/>
    <n v="6149998.7400000002"/>
    <n v="123"/>
    <n v="25"/>
    <n v="5"/>
    <n v="123"/>
    <n v="2"/>
    <n v="21.256754877907543"/>
  </r>
  <r>
    <s v="MAC-CGM-2025"/>
    <s v="Counterparty_025"/>
    <x v="8"/>
    <s v="Corporate Loan"/>
    <x v="1"/>
    <n v="365858548.18000001"/>
    <d v="2032-06-24T00:00:00"/>
    <x v="3"/>
    <s v="GL-589-X"/>
    <s v="In Progress"/>
    <n v="3202506968.0700002"/>
    <n v="849713034.37"/>
    <n v="50221.180256410262"/>
    <n v="732"/>
    <n v="4.1760000000000002"/>
    <n v="50221.180256410262"/>
    <n v="3.0759493670886076"/>
    <n v="5737.3327457799069"/>
  </r>
  <r>
    <s v="MAC-CGM-2026"/>
    <s v="Counterparty_026"/>
    <x v="5"/>
    <s v="Project Finance"/>
    <x v="3"/>
    <n v="182440535.63"/>
    <d v="2031-10-20T00:00:00"/>
    <x v="7"/>
    <s v="GL-300-X"/>
    <s v="In Progress"/>
    <n v="194021189.5"/>
    <n v="254716966.62"/>
    <n v="38207.54"/>
    <n v="1136"/>
    <n v="4"/>
    <n v="38207.54"/>
    <n v="2"/>
    <n v="35927.024675336557"/>
  </r>
  <r>
    <s v="MAC-CGM-2027"/>
    <s v="Counterparty_027"/>
    <x v="4"/>
    <s v="Corporate Loan"/>
    <x v="1"/>
    <n v="313532572.77999997"/>
    <d v="2034-03-27T00:00:00"/>
    <x v="1"/>
    <s v="GL-147-X"/>
    <s v="In Progress"/>
    <n v="361005914.97000003"/>
    <n v="645326949.66999996"/>
    <n v="50221.180256410262"/>
    <n v="732"/>
    <n v="4.1760000000000002"/>
    <n v="50221.180256410262"/>
    <n v="3.0759493670886076"/>
    <n v="43616.946983123402"/>
  </r>
  <r>
    <s v="MAC-CGM-2028"/>
    <s v="Counterparty_028"/>
    <x v="4"/>
    <s v="Corporate Loan"/>
    <x v="1"/>
    <n v="188555034.84"/>
    <d v="2030-11-17T00:00:00"/>
    <x v="3"/>
    <s v="GL-198-X"/>
    <s v="Yes"/>
    <n v="207410538.31999999"/>
    <n v="240870723.68000001"/>
    <n v="36130.61"/>
    <n v="1136"/>
    <n v="4"/>
    <n v="36130.61"/>
    <n v="2"/>
    <n v="32846.009091542546"/>
  </r>
  <r>
    <s v="MAC-CGM-2029"/>
    <s v="Counterparty_029"/>
    <x v="9"/>
    <s v="Project Finance"/>
    <x v="1"/>
    <n v="297692404.92000002"/>
    <d v="2033-09-04T00:00:00"/>
    <x v="2"/>
    <s v="GL-838-X"/>
    <s v="In Progress"/>
    <n v="8638580874.2299995"/>
    <n v="623336244.76999998"/>
    <n v="6167.4220000000005"/>
    <n v="15"/>
    <n v="4"/>
    <n v="6167.4220000000005"/>
    <n v="4"/>
    <n v="212.53429400811947"/>
  </r>
  <r>
    <s v="MAC-CGM-2030"/>
    <s v="Counterparty_030"/>
    <x v="8"/>
    <s v="Listed Equity"/>
    <x v="3"/>
    <n v="64199151.740000002"/>
    <d v="2030-02-24T00:00:00"/>
    <x v="2"/>
    <s v="GL-868-X"/>
    <s v="No"/>
    <n v="189276255.53999999"/>
    <n v="51294198.729999997"/>
    <n v="7694.13"/>
    <n v="1136"/>
    <n v="4"/>
    <n v="7694.13"/>
    <n v="2"/>
    <n v="2609.7125493530157"/>
  </r>
  <r>
    <s v="MAC-CGM-2031"/>
    <s v="Counterparty_031"/>
    <x v="9"/>
    <s v="Unlisted Equity"/>
    <x v="3"/>
    <n v="362256112.98000002"/>
    <d v="2027-06-17T00:00:00"/>
    <x v="7"/>
    <s v="GL-894-X"/>
    <s v="In Progress"/>
    <n v="9170038782.2000008"/>
    <n v="689443296.23000002"/>
    <n v="6167.4220000000005"/>
    <n v="15"/>
    <n v="4"/>
    <n v="6167.4220000000005"/>
    <n v="4"/>
    <n v="243.63978974266999"/>
  </r>
  <r>
    <s v="MAC-CGM-2032"/>
    <s v="Counterparty_032"/>
    <x v="8"/>
    <s v="Unlisted Equity"/>
    <x v="2"/>
    <n v="263752750.53999999"/>
    <d v="2028-12-04T00:00:00"/>
    <x v="6"/>
    <s v="GL-653-X"/>
    <s v="Yes"/>
    <n v="1573331630.5699999"/>
    <n v="476556929.13999999"/>
    <n v="50221.180256410262"/>
    <n v="732"/>
    <n v="4.1760000000000002"/>
    <n v="50221.180256410262"/>
    <n v="3.0759493670886076"/>
    <n v="8419.060654869365"/>
  </r>
  <r>
    <s v="MAC-CGM-2033"/>
    <s v="Counterparty_033"/>
    <x v="2"/>
    <s v="Listed Equity"/>
    <x v="1"/>
    <n v="222471568.41999999"/>
    <d v="2028-06-12T00:00:00"/>
    <x v="7"/>
    <s v="GL-340-X"/>
    <s v="In Progress"/>
    <n v="236549874.59"/>
    <n v="171242721.66999999"/>
    <n v="25686.41"/>
    <n v="1136"/>
    <n v="4"/>
    <n v="25686.41"/>
    <n v="2"/>
    <n v="24157.678923668085"/>
  </r>
  <r>
    <s v="MAC-CGM-2034"/>
    <s v="Counterparty_034"/>
    <x v="0"/>
    <s v="Listed Equity"/>
    <x v="3"/>
    <n v="160606210.63"/>
    <d v="2026-05-06T00:00:00"/>
    <x v="9"/>
    <s v="GL-833-X"/>
    <s v="No"/>
    <n v="2072299268.01"/>
    <n v="206521912.59"/>
    <n v="4130.4399999999996"/>
    <n v="25"/>
    <n v="5"/>
    <n v="4130.4399999999996"/>
    <n v="2"/>
    <n v="320.11511410299642"/>
  </r>
  <r>
    <s v="MAC-CGM-2035"/>
    <s v="Counterparty_035"/>
    <x v="0"/>
    <s v="Listed Equity"/>
    <x v="3"/>
    <n v="73969069.930000007"/>
    <d v="2032-04-27T00:00:00"/>
    <x v="9"/>
    <s v="GL-624-X"/>
    <s v="In Progress"/>
    <n v="801060112.03999996"/>
    <n v="83084320.790000007"/>
    <n v="1661.69"/>
    <n v="25"/>
    <n v="5"/>
    <n v="1661.69"/>
    <n v="2"/>
    <n v="153.43875192957327"/>
  </r>
  <r>
    <s v="MAC-CGM-2036"/>
    <s v="Counterparty_036"/>
    <x v="5"/>
    <s v="Unlisted Equity"/>
    <x v="3"/>
    <n v="43105055.369999997"/>
    <d v="2030-10-19T00:00:00"/>
    <x v="2"/>
    <s v="GL-185-X"/>
    <s v="Yes"/>
    <n v="47415560.909999996"/>
    <n v="46208421.670000002"/>
    <n v="50221.180256410262"/>
    <n v="732"/>
    <n v="4.1760000000000002"/>
    <n v="50221.180256410262"/>
    <n v="3.0759493670886076"/>
    <n v="45655.618412029777"/>
  </r>
  <r>
    <s v="MAC-CGM-2037"/>
    <s v="Counterparty_037"/>
    <x v="3"/>
    <s v="Listed Equity"/>
    <x v="3"/>
    <n v="440831580.31"/>
    <d v="2033-07-22T00:00:00"/>
    <x v="5"/>
    <s v="GL-745-X"/>
    <s v="No"/>
    <n v="7324339900.21"/>
    <n v="398094377.25"/>
    <n v="59714.16"/>
    <n v="280"/>
    <n v="4"/>
    <n v="59714.16"/>
    <n v="2"/>
    <n v="3594.0286603751751"/>
  </r>
  <r>
    <s v="MAC-CGM-2038"/>
    <s v="Counterparty_038"/>
    <x v="1"/>
    <s v="Listed Equity"/>
    <x v="3"/>
    <n v="230984612.38999999"/>
    <d v="2030-08-01T00:00:00"/>
    <x v="9"/>
    <s v="GL-897-X"/>
    <s v="Yes"/>
    <n v="1879404576.6300001"/>
    <n v="481258609.14999998"/>
    <n v="72188.789999999994"/>
    <n v="850"/>
    <n v="4"/>
    <n v="72188.789999999994"/>
    <n v="2"/>
    <n v="8872.2246845607351"/>
  </r>
  <r>
    <s v="MAC-CGM-2039"/>
    <s v="Counterparty_039"/>
    <x v="9"/>
    <s v="Corporate Loan"/>
    <x v="0"/>
    <n v="442223728.16000003"/>
    <d v="2030-08-21T00:00:00"/>
    <x v="6"/>
    <s v="GL-447-X"/>
    <s v="Yes"/>
    <n v="5933811240.8000002"/>
    <n v="427376131.58999997"/>
    <n v="6167.4220000000005"/>
    <n v="15"/>
    <n v="4"/>
    <n v="6167.4220000000005"/>
    <n v="4"/>
    <n v="459.63382374264688"/>
  </r>
  <r>
    <s v="MAC-CGM-2040"/>
    <s v="Counterparty_040"/>
    <x v="9"/>
    <s v="Unlisted Equity"/>
    <x v="1"/>
    <n v="181367429.84999999"/>
    <d v="2032-03-17T00:00:00"/>
    <x v="1"/>
    <s v="GL-484-X"/>
    <s v="No"/>
    <n v="6349975518.5799999"/>
    <n v="456792079.17000002"/>
    <n v="6167.4220000000005"/>
    <n v="15"/>
    <n v="4"/>
    <n v="6167.4220000000005"/>
    <n v="4"/>
    <n v="176.15335266528467"/>
  </r>
  <r>
    <s v="MAC-CGM-2041"/>
    <s v="Counterparty_041"/>
    <x v="4"/>
    <s v="Listed Equity"/>
    <x v="1"/>
    <n v="117827905.45999999"/>
    <d v="2033-06-03T00:00:00"/>
    <x v="9"/>
    <s v="GL-844-X"/>
    <s v="In Progress"/>
    <n v="129610696.01000001"/>
    <n v="91331922.129999995"/>
    <n v="50221.180256410262"/>
    <n v="732"/>
    <n v="4.1760000000000002"/>
    <n v="50221.180256410262"/>
    <n v="3.0759493670886076"/>
    <n v="45655.618413509408"/>
  </r>
  <r>
    <s v="MAC-CGM-2042"/>
    <s v="Counterparty_042"/>
    <x v="1"/>
    <s v="Corporate Loan"/>
    <x v="1"/>
    <n v="155866722.78999999"/>
    <d v="2028-01-10T00:00:00"/>
    <x v="0"/>
    <s v="GL-510-X"/>
    <s v="Yes"/>
    <n v="1543346201.6600001"/>
    <n v="396686563.29000002"/>
    <n v="31523.905999999999"/>
    <n v="850"/>
    <n v="4"/>
    <n v="31523.905999999999"/>
    <n v="4"/>
    <n v="3183.6848482052178"/>
  </r>
  <r>
    <s v="MAC-CGM-2043"/>
    <s v="Counterparty_043"/>
    <x v="3"/>
    <s v="Corporate Loan"/>
    <x v="2"/>
    <n v="211618446.56"/>
    <d v="2035-02-09T00:00:00"/>
    <x v="2"/>
    <s v="GL-333-X"/>
    <s v="Yes"/>
    <n v="5708459038.3800001"/>
    <n v="376018100.17000002"/>
    <n v="50059.561999999991"/>
    <n v="280"/>
    <n v="4"/>
    <n v="50059.561999999991"/>
    <n v="4"/>
    <n v="1855.7594395772935"/>
  </r>
  <r>
    <s v="MAC-CGM-2044"/>
    <s v="Counterparty_044"/>
    <x v="3"/>
    <s v="Corporate Loan"/>
    <x v="1"/>
    <n v="172119509.84"/>
    <d v="2031-07-22T00:00:00"/>
    <x v="4"/>
    <s v="GL-771-X"/>
    <s v="Yes"/>
    <n v="2020551809.0599999"/>
    <n v="137637675.59999999"/>
    <n v="20645.650000000001"/>
    <n v="280"/>
    <n v="4"/>
    <n v="20645.650000000001"/>
    <n v="2"/>
    <n v="1758.6874745772357"/>
  </r>
  <r>
    <s v="MAC-CGM-2045"/>
    <s v="Counterparty_045"/>
    <x v="0"/>
    <s v="Listed Equity"/>
    <x v="3"/>
    <n v="261801357.75999999"/>
    <d v="2035-02-17T00:00:00"/>
    <x v="9"/>
    <s v="GL-212-X"/>
    <s v="Yes"/>
    <n v="3450119448.5300002"/>
    <n v="342438094.97000003"/>
    <n v="6848.76"/>
    <n v="25"/>
    <n v="5"/>
    <n v="6848.76"/>
    <n v="2"/>
    <n v="519.69640289884205"/>
  </r>
  <r>
    <s v="MAC-CGM-2046"/>
    <s v="Counterparty_046"/>
    <x v="1"/>
    <s v="Unlisted Equity"/>
    <x v="0"/>
    <n v="37121662.32"/>
    <d v="2032-11-24T00:00:00"/>
    <x v="9"/>
    <s v="GL-367-X"/>
    <s v="In Progress"/>
    <n v="211405892.13"/>
    <n v="52307169.43"/>
    <n v="7846.08"/>
    <n v="850"/>
    <n v="4"/>
    <n v="7846.08"/>
    <n v="2"/>
    <n v="1377.7266535059539"/>
  </r>
  <r>
    <s v="MAC-CGM-2047"/>
    <s v="Counterparty_047"/>
    <x v="0"/>
    <s v="Corporate Loan"/>
    <x v="2"/>
    <n v="129632236.43000001"/>
    <d v="2035-07-20T00:00:00"/>
    <x v="2"/>
    <s v="GL-212-X"/>
    <s v="No"/>
    <n v="1462527307.04"/>
    <n v="146413873.47"/>
    <n v="4461.59"/>
    <n v="25"/>
    <n v="5"/>
    <n v="4461.59"/>
    <n v="5"/>
    <n v="395.45647247043536"/>
  </r>
  <r>
    <s v="MAC-CGM-2048"/>
    <s v="Counterparty_048"/>
    <x v="1"/>
    <s v="Corporate Loan"/>
    <x v="0"/>
    <n v="78303030.329999998"/>
    <d v="2034-04-18T00:00:00"/>
    <x v="1"/>
    <s v="GL-798-X"/>
    <s v="In Progress"/>
    <n v="262919802.40000001"/>
    <n v="94911199.840000004"/>
    <n v="14236.68"/>
    <n v="850"/>
    <n v="4"/>
    <n v="14236.68"/>
    <n v="2"/>
    <n v="4239.9818334813426"/>
  </r>
  <r>
    <s v="MAC-CGM-2049"/>
    <s v="Counterparty_049"/>
    <x v="2"/>
    <s v="Corporate Loan"/>
    <x v="2"/>
    <n v="306734345.31999999"/>
    <d v="2027-11-03T00:00:00"/>
    <x v="4"/>
    <s v="GL-954-X"/>
    <s v="No"/>
    <n v="751684059.20000005"/>
    <n v="538839475.39999998"/>
    <n v="50221.180256410262"/>
    <n v="732"/>
    <n v="4.1760000000000002"/>
    <n v="50221.180256410262"/>
    <n v="3.0759493670886076"/>
    <n v="20493.39833485684"/>
  </r>
  <r>
    <s v="MAC-CGM-2050"/>
    <s v="Counterparty_050"/>
    <x v="1"/>
    <s v="Corporate Loan"/>
    <x v="3"/>
    <n v="142929999.80000001"/>
    <d v="2035-02-09T00:00:00"/>
    <x v="1"/>
    <s v="GL-502-X"/>
    <s v="No"/>
    <n v="1206172282.04"/>
    <n v="396011107.14999998"/>
    <n v="31523.905999999999"/>
    <n v="850"/>
    <n v="4"/>
    <n v="31523.905999999999"/>
    <n v="4"/>
    <n v="3735.545863029372"/>
  </r>
  <r>
    <s v="MAC-CGM-2051"/>
    <s v="Counterparty_051"/>
    <x v="6"/>
    <s v="Project Finance"/>
    <x v="3"/>
    <n v="341949198.51999998"/>
    <d v="2029-01-11T00:00:00"/>
    <x v="6"/>
    <s v="GL-771-X"/>
    <s v="No"/>
    <n v="5279178290.5799999"/>
    <n v="589394546.99000001"/>
    <n v="159987.52599999998"/>
    <n v="1850"/>
    <n v="4"/>
    <n v="159987.52599999998"/>
    <n v="4"/>
    <n v="10362.901814950292"/>
  </r>
  <r>
    <s v="MAC-CGM-2052"/>
    <s v="Counterparty_052"/>
    <x v="1"/>
    <s v="Unlisted Equity"/>
    <x v="3"/>
    <n v="278682079.08999997"/>
    <d v="2032-05-13T00:00:00"/>
    <x v="9"/>
    <s v="GL-538-X"/>
    <s v="Yes"/>
    <n v="2282105964.1900001"/>
    <n v="607621369"/>
    <n v="31523.905999999999"/>
    <n v="850"/>
    <n v="4"/>
    <n v="31523.905999999999"/>
    <n v="4"/>
    <n v="3849.5792057735948"/>
  </r>
  <r>
    <s v="MAC-CGM-2053"/>
    <s v="Counterparty_053"/>
    <x v="5"/>
    <s v="Project Finance"/>
    <x v="2"/>
    <n v="382001709.58999997"/>
    <d v="2026-06-02T00:00:00"/>
    <x v="1"/>
    <s v="GL-866-X"/>
    <s v="In Progress"/>
    <n v="755612183.36000001"/>
    <n v="886450580.10000002"/>
    <n v="132967.59"/>
    <n v="1136"/>
    <n v="4"/>
    <n v="132967.59"/>
    <n v="2"/>
    <n v="67222.11184340078"/>
  </r>
  <r>
    <s v="MAC-CGM-2054"/>
    <s v="Counterparty_054"/>
    <x v="4"/>
    <s v="Unlisted Equity"/>
    <x v="1"/>
    <n v="402554179.41000003"/>
    <d v="2034-02-09T00:00:00"/>
    <x v="8"/>
    <s v="GL-297-X"/>
    <s v="In Progress"/>
    <n v="510513624.24000001"/>
    <n v="838852171.82000005"/>
    <n v="50221.180256410262"/>
    <n v="732"/>
    <n v="4.1760000000000002"/>
    <n v="50221.180256410262"/>
    <n v="3.0759493670886076"/>
    <n v="39600.796231868509"/>
  </r>
  <r>
    <s v="MAC-CGM-2055"/>
    <s v="Counterparty_055"/>
    <x v="1"/>
    <s v="Unlisted Equity"/>
    <x v="3"/>
    <n v="202418099.00999999"/>
    <d v="2035-11-22T00:00:00"/>
    <x v="1"/>
    <s v="GL-300-X"/>
    <s v="In Progress"/>
    <n v="1653596350.52"/>
    <n v="523909907.63999999"/>
    <n v="31523.905999999999"/>
    <n v="850"/>
    <n v="4"/>
    <n v="31523.905999999999"/>
    <n v="4"/>
    <n v="3858.8674460265479"/>
  </r>
  <r>
    <s v="MAC-CGM-2056"/>
    <s v="Counterparty_056"/>
    <x v="9"/>
    <s v="Project Finance"/>
    <x v="1"/>
    <n v="163786132.16"/>
    <d v="2035-05-21T00:00:00"/>
    <x v="2"/>
    <s v="GL-759-X"/>
    <s v="Yes"/>
    <n v="1226081919.47"/>
    <n v="98589072.890000001"/>
    <n v="985.89"/>
    <n v="15"/>
    <n v="4"/>
    <n v="985.89"/>
    <n v="2"/>
    <n v="131.70009872180762"/>
  </r>
  <r>
    <s v="MAC-CGM-2057"/>
    <s v="Counterparty_057"/>
    <x v="3"/>
    <s v="Project Finance"/>
    <x v="1"/>
    <n v="166349658.06999999"/>
    <d v="2031-06-09T00:00:00"/>
    <x v="2"/>
    <s v="GL-445-X"/>
    <s v="In Progress"/>
    <n v="1420991029.53"/>
    <n v="90073278.209999993"/>
    <n v="50059.561999999991"/>
    <n v="280"/>
    <n v="4"/>
    <n v="50059.561999999991"/>
    <n v="4"/>
    <n v="5860.2699445529151"/>
  </r>
  <r>
    <s v="MAC-CGM-2058"/>
    <s v="Counterparty_058"/>
    <x v="0"/>
    <s v="Corporate Loan"/>
    <x v="3"/>
    <n v="258486063.86000001"/>
    <d v="2026-06-26T00:00:00"/>
    <x v="9"/>
    <s v="GL-963-X"/>
    <s v="No"/>
    <n v="4750238052.9399996"/>
    <n v="546163469.69000006"/>
    <n v="10923.27"/>
    <n v="25"/>
    <n v="5"/>
    <n v="10923.27"/>
    <n v="2"/>
    <n v="594.39401463943568"/>
  </r>
  <r>
    <s v="MAC-CGM-2059"/>
    <s v="Counterparty_059"/>
    <x v="3"/>
    <s v="Project Finance"/>
    <x v="2"/>
    <n v="52607392.789999999"/>
    <d v="2027-06-03T00:00:00"/>
    <x v="1"/>
    <s v="GL-739-X"/>
    <s v="No"/>
    <n v="1423156632.78"/>
    <n v="77166542.069999993"/>
    <n v="50059.561999999991"/>
    <n v="280"/>
    <n v="4"/>
    <n v="50059.561999999991"/>
    <n v="4"/>
    <n v="1850.4660557882949"/>
  </r>
  <r>
    <s v="MAC-CGM-2060"/>
    <s v="Counterparty_060"/>
    <x v="2"/>
    <s v="Listed Equity"/>
    <x v="0"/>
    <n v="261286918.50999999"/>
    <d v="2034-01-28T00:00:00"/>
    <x v="1"/>
    <s v="GL-878-X"/>
    <s v="Yes"/>
    <n v="507941767.10000002"/>
    <n v="353433898.94"/>
    <n v="53015.08"/>
    <n v="1136"/>
    <n v="4"/>
    <n v="53015.08"/>
    <n v="2"/>
    <n v="27271.131820577415"/>
  </r>
  <r>
    <s v="MAC-CGM-2061"/>
    <s v="Counterparty_061"/>
    <x v="8"/>
    <s v="Project Finance"/>
    <x v="1"/>
    <n v="173827843.77000001"/>
    <d v="2032-12-25T00:00:00"/>
    <x v="8"/>
    <s v="GL-250-X"/>
    <s v="Yes"/>
    <n v="1437684182.46"/>
    <n v="468178942.01999998"/>
    <n v="70226.84"/>
    <n v="1136"/>
    <n v="4"/>
    <n v="70226.84"/>
    <n v="2"/>
    <n v="8491.0026283331008"/>
  </r>
  <r>
    <s v="MAC-CGM-2062"/>
    <s v="Counterparty_062"/>
    <x v="6"/>
    <s v="Project Finance"/>
    <x v="0"/>
    <n v="273016747.04000002"/>
    <d v="2035-04-23T00:00:00"/>
    <x v="2"/>
    <s v="GL-362-X"/>
    <s v="Yes"/>
    <n v="5322202782.8400002"/>
    <n v="694296740.28999996"/>
    <n v="159987.52599999998"/>
    <n v="1850"/>
    <n v="4"/>
    <n v="159987.52599999998"/>
    <n v="4"/>
    <n v="8206.9916720064484"/>
  </r>
  <r>
    <s v="MAC-CGM-2063"/>
    <s v="Counterparty_063"/>
    <x v="9"/>
    <s v="Unlisted Equity"/>
    <x v="0"/>
    <n v="331692102.79000002"/>
    <d v="2032-08-20T00:00:00"/>
    <x v="5"/>
    <s v="GL-671-X"/>
    <s v="In Progress"/>
    <n v="3681154459.9400001"/>
    <n v="366397288.73000002"/>
    <n v="3663.97"/>
    <n v="15"/>
    <n v="4"/>
    <n v="3663.97"/>
    <n v="2"/>
    <n v="330.14368918366029"/>
  </r>
  <r>
    <s v="MAC-CGM-2064"/>
    <s v="Counterparty_064"/>
    <x v="7"/>
    <s v="Listed Equity"/>
    <x v="1"/>
    <n v="134110441.54000001"/>
    <d v="2034-02-22T00:00:00"/>
    <x v="3"/>
    <s v="GL-136-X"/>
    <s v="In Progress"/>
    <n v="2448095995.6799998"/>
    <n v="368943878.81"/>
    <n v="56434.683999999994"/>
    <n v="1200"/>
    <n v="4"/>
    <n v="56434.683999999994"/>
    <n v="4"/>
    <n v="3091.5782725701897"/>
  </r>
  <r>
    <s v="MAC-CGM-2065"/>
    <s v="Counterparty_065"/>
    <x v="8"/>
    <s v="Project Finance"/>
    <x v="3"/>
    <n v="441904989.88"/>
    <d v="2034-06-20T00:00:00"/>
    <x v="5"/>
    <s v="GL-332-X"/>
    <s v="In Progress"/>
    <n v="2249389755.3099999"/>
    <n v="606746128.77999997"/>
    <n v="91011.92"/>
    <n v="1136"/>
    <n v="4"/>
    <n v="91011.92"/>
    <n v="2"/>
    <n v="17879.792282159051"/>
  </r>
  <r>
    <s v="MAC-CGM-2066"/>
    <s v="Counterparty_066"/>
    <x v="6"/>
    <s v="Listed Equity"/>
    <x v="0"/>
    <n v="177858739.43000001"/>
    <d v="2033-12-03T00:00:00"/>
    <x v="2"/>
    <s v="GL-503-X"/>
    <s v="No"/>
    <n v="4031121597.3099999"/>
    <n v="483369552.68000001"/>
    <n v="241684.78"/>
    <n v="1850"/>
    <n v="4"/>
    <n v="241684.78"/>
    <n v="2"/>
    <n v="10663.471510981364"/>
  </r>
  <r>
    <s v="MAC-CGM-2067"/>
    <s v="Counterparty_067"/>
    <x v="1"/>
    <s v="Project Finance"/>
    <x v="0"/>
    <n v="444107780.00999999"/>
    <d v="2034-10-27T00:00:00"/>
    <x v="1"/>
    <s v="GL-727-X"/>
    <s v="No"/>
    <n v="927429106.47000003"/>
    <n v="315471922.67000002"/>
    <n v="47320.79"/>
    <n v="850"/>
    <n v="4"/>
    <n v="47320.79"/>
    <n v="2"/>
    <n v="22659.986459999254"/>
  </r>
  <r>
    <s v="MAC-CGM-2068"/>
    <s v="Counterparty_068"/>
    <x v="5"/>
    <s v="Listed Equity"/>
    <x v="1"/>
    <n v="46649282.670000002"/>
    <d v="2030-01-13T00:00:00"/>
    <x v="4"/>
    <s v="GL-203-X"/>
    <s v="Yes"/>
    <n v="68026195.170000002"/>
    <n v="94048342.890000001"/>
    <n v="50221.180256410262"/>
    <n v="732"/>
    <n v="4.1760000000000002"/>
    <n v="50221.180256410262"/>
    <n v="3.0759493670886076"/>
    <n v="34439.410111760713"/>
  </r>
  <r>
    <s v="MAC-CGM-2069"/>
    <s v="Counterparty_069"/>
    <x v="5"/>
    <s v="Listed Equity"/>
    <x v="3"/>
    <n v="305182384.52999997"/>
    <d v="2035-02-11T00:00:00"/>
    <x v="5"/>
    <s v="GL-198-X"/>
    <s v="Yes"/>
    <n v="475546423"/>
    <n v="658813822.36000001"/>
    <n v="50221.180256410262"/>
    <n v="732"/>
    <n v="4.1760000000000002"/>
    <n v="50221.180256410262"/>
    <n v="3.0759493670886076"/>
    <n v="32229.49180833653"/>
  </r>
  <r>
    <s v="MAC-CGM-2070"/>
    <s v="Counterparty_070"/>
    <x v="0"/>
    <s v="Corporate Loan"/>
    <x v="0"/>
    <n v="486963599.19"/>
    <d v="2034-03-11T00:00:00"/>
    <x v="8"/>
    <s v="GL-805-X"/>
    <s v="Yes"/>
    <n v="9814814120.7600002"/>
    <n v="911515252.25999999"/>
    <n v="18230.310000000001"/>
    <n v="25"/>
    <n v="5"/>
    <n v="18230.310000000001"/>
    <n v="2"/>
    <n v="904.49979619807914"/>
  </r>
  <r>
    <s v="MAC-CGM-2071"/>
    <s v="Counterparty_071"/>
    <x v="8"/>
    <s v="Unlisted Equity"/>
    <x v="1"/>
    <n v="347488122.86000001"/>
    <d v="2028-09-13T00:00:00"/>
    <x v="5"/>
    <s v="GL-260-X"/>
    <s v="Yes"/>
    <n v="1359498972.29"/>
    <n v="368571364.82999998"/>
    <n v="50221.180256410262"/>
    <n v="732"/>
    <n v="4.1760000000000002"/>
    <n v="50221.180256410262"/>
    <n v="3.0759493670886076"/>
    <n v="12836.540527660729"/>
  </r>
  <r>
    <s v="MAC-CGM-2072"/>
    <s v="Counterparty_072"/>
    <x v="5"/>
    <s v="Corporate Loan"/>
    <x v="2"/>
    <n v="13947304.99"/>
    <d v="2027-03-04T00:00:00"/>
    <x v="3"/>
    <s v="GL-915-X"/>
    <s v="Yes"/>
    <n v="18113437.23"/>
    <n v="18319774.579999998"/>
    <n v="2747.97"/>
    <n v="1850"/>
    <n v="4"/>
    <n v="2747.97"/>
    <n v="2"/>
    <n v="2115.9305772121693"/>
  </r>
  <r>
    <s v="MAC-CGM-2073"/>
    <s v="Counterparty_073"/>
    <x v="9"/>
    <s v="Listed Equity"/>
    <x v="3"/>
    <n v="374513245.52999997"/>
    <d v="2031-05-04T00:00:00"/>
    <x v="0"/>
    <s v="GL-234-X"/>
    <s v="No"/>
    <n v="12531646114.620001"/>
    <n v="982370161.88"/>
    <n v="6167.4220000000005"/>
    <n v="15"/>
    <n v="4"/>
    <n v="6167.4220000000005"/>
    <n v="4"/>
    <n v="184.31586789531389"/>
  </r>
  <r>
    <s v="MAC-CGM-2074"/>
    <s v="Counterparty_074"/>
    <x v="4"/>
    <s v="Listed Equity"/>
    <x v="1"/>
    <n v="361865262.5"/>
    <d v="2027-11-01T00:00:00"/>
    <x v="1"/>
    <s v="GL-787-X"/>
    <s v="Yes"/>
    <n v="398051788.75"/>
    <n v="265676742.37"/>
    <n v="50221.180256410262"/>
    <n v="732"/>
    <n v="4.1760000000000002"/>
    <n v="50221.180256410262"/>
    <n v="3.0759493670886076"/>
    <n v="45655.618414918419"/>
  </r>
  <r>
    <s v="MAC-CGM-2075"/>
    <s v="Counterparty_075"/>
    <x v="7"/>
    <s v="Project Finance"/>
    <x v="2"/>
    <n v="51369010.07"/>
    <d v="2027-05-15T00:00:00"/>
    <x v="7"/>
    <s v="GL-121-X"/>
    <s v="Yes"/>
    <n v="427180123.32999998"/>
    <n v="57018271.149999999"/>
    <n v="56434.683999999994"/>
    <n v="1200"/>
    <n v="4"/>
    <n v="56434.683999999994"/>
    <n v="4"/>
    <n v="6786.3500485339118"/>
  </r>
  <r>
    <s v="MAC-CGM-2076"/>
    <s v="Counterparty_076"/>
    <x v="8"/>
    <s v="Corporate Loan"/>
    <x v="2"/>
    <n v="125774873.47"/>
    <d v="2031-10-17T00:00:00"/>
    <x v="4"/>
    <s v="GL-464-X"/>
    <s v="No"/>
    <n v="1228733473.47"/>
    <n v="343380043.25"/>
    <n v="51507.01"/>
    <n v="1136"/>
    <n v="4"/>
    <n v="51507.01"/>
    <n v="2"/>
    <n v="5272.3294395757293"/>
  </r>
  <r>
    <s v="MAC-CGM-2077"/>
    <s v="Counterparty_077"/>
    <x v="5"/>
    <s v="Corporate Loan"/>
    <x v="1"/>
    <n v="245937365.71000001"/>
    <d v="2031-01-04T00:00:00"/>
    <x v="8"/>
    <s v="GL-376-X"/>
    <s v="No"/>
    <n v="400771028.92000002"/>
    <n v="432011789.31999999"/>
    <n v="50221.180256410262"/>
    <n v="732"/>
    <n v="4.1760000000000002"/>
    <n v="50221.180256410262"/>
    <n v="3.0759493670886076"/>
    <n v="30818.756556313114"/>
  </r>
  <r>
    <s v="MAC-CGM-2078"/>
    <s v="Counterparty_078"/>
    <x v="0"/>
    <s v="Listed Equity"/>
    <x v="1"/>
    <n v="253805361.09"/>
    <d v="2032-06-19T00:00:00"/>
    <x v="1"/>
    <s v="GL-552-X"/>
    <s v="No"/>
    <n v="2731022101.4899998"/>
    <n v="250786973.09"/>
    <n v="4461.59"/>
    <n v="25"/>
    <n v="5"/>
    <n v="4461.59"/>
    <n v="5"/>
    <n v="414.63430865965091"/>
  </r>
  <r>
    <s v="MAC-CGM-2079"/>
    <s v="Counterparty_079"/>
    <x v="6"/>
    <s v="Listed Equity"/>
    <x v="3"/>
    <n v="118941707.78"/>
    <d v="2028-04-25T00:00:00"/>
    <x v="2"/>
    <s v="GL-615-X"/>
    <s v="Yes"/>
    <n v="529369405.69"/>
    <n v="66701310.32"/>
    <n v="159987.52599999998"/>
    <n v="1850"/>
    <n v="4"/>
    <n v="159987.52599999998"/>
    <n v="4"/>
    <n v="35946.900900201792"/>
  </r>
  <r>
    <s v="MAC-CGM-2080"/>
    <s v="Counterparty_080"/>
    <x v="7"/>
    <s v="Project Finance"/>
    <x v="1"/>
    <n v="17036403.379999999"/>
    <d v="2034-08-17T00:00:00"/>
    <x v="1"/>
    <s v="GL-271-X"/>
    <s v="In Progress"/>
    <n v="361574648.63"/>
    <n v="48573281.200000003"/>
    <n v="7285.99"/>
    <n v="1200"/>
    <n v="4"/>
    <n v="7285.99"/>
    <n v="2"/>
    <n v="343.29581770448084"/>
  </r>
  <r>
    <s v="MAC-CGM-2081"/>
    <s v="Counterparty_081"/>
    <x v="8"/>
    <s v="Unlisted Equity"/>
    <x v="2"/>
    <n v="470526999.25"/>
    <d v="2032-12-29T00:00:00"/>
    <x v="3"/>
    <s v="GL-617-X"/>
    <s v="Yes"/>
    <n v="1838368948.02"/>
    <n v="670687655.82000005"/>
    <n v="100603.15"/>
    <n v="1136"/>
    <n v="4"/>
    <n v="100603.15"/>
    <n v="2"/>
    <n v="25749.182902366261"/>
  </r>
  <r>
    <s v="MAC-CGM-2082"/>
    <s v="Counterparty_082"/>
    <x v="8"/>
    <s v="Listed Equity"/>
    <x v="2"/>
    <n v="188228556.63"/>
    <d v="2030-12-04T00:00:00"/>
    <x v="3"/>
    <s v="GL-379-X"/>
    <s v="No"/>
    <n v="1192664849.28"/>
    <n v="295605488.83999997"/>
    <n v="44340.82"/>
    <n v="1136"/>
    <n v="4"/>
    <n v="44340.82"/>
    <n v="2"/>
    <n v="6997.9496364206252"/>
  </r>
  <r>
    <s v="MAC-CGM-2083"/>
    <s v="Counterparty_083"/>
    <x v="3"/>
    <s v="Unlisted Equity"/>
    <x v="3"/>
    <n v="168721400.81"/>
    <d v="2026-11-28T00:00:00"/>
    <x v="3"/>
    <s v="GL-706-X"/>
    <s v="In Progress"/>
    <n v="6400007519.2299995"/>
    <n v="444163075.98000002"/>
    <n v="50059.561999999991"/>
    <n v="280"/>
    <n v="4"/>
    <n v="50059.561999999991"/>
    <n v="4"/>
    <n v="1319.7046095957114"/>
  </r>
  <r>
    <s v="MAC-CGM-2084"/>
    <s v="Counterparty_084"/>
    <x v="9"/>
    <s v="Listed Equity"/>
    <x v="1"/>
    <n v="481991888.66000003"/>
    <d v="2028-10-19T00:00:00"/>
    <x v="9"/>
    <s v="GL-290-X"/>
    <s v="Yes"/>
    <n v="14086126291.639999"/>
    <n v="1266598373.8599999"/>
    <n v="6167.4220000000005"/>
    <n v="15"/>
    <n v="4"/>
    <n v="6167.4220000000005"/>
    <n v="4"/>
    <n v="211.03370198430468"/>
  </r>
  <r>
    <s v="MAC-CGM-2085"/>
    <s v="Counterparty_085"/>
    <x v="2"/>
    <s v="Listed Equity"/>
    <x v="2"/>
    <n v="156320024.55000001"/>
    <d v="2034-03-25T00:00:00"/>
    <x v="7"/>
    <s v="GL-260-X"/>
    <s v="No"/>
    <n v="590506019.01999998"/>
    <n v="295757979.81999999"/>
    <n v="44363.7"/>
    <n v="1136"/>
    <n v="4"/>
    <n v="44363.7"/>
    <n v="2"/>
    <n v="11744.054166692506"/>
  </r>
  <r>
    <s v="MAC-CGM-2086"/>
    <s v="Counterparty_086"/>
    <x v="4"/>
    <s v="Corporate Loan"/>
    <x v="3"/>
    <n v="161876392.55000001"/>
    <d v="2026-06-07T00:00:00"/>
    <x v="8"/>
    <s v="GL-892-X"/>
    <s v="Yes"/>
    <n v="178064031.81"/>
    <n v="311636810.63999999"/>
    <n v="46745.52"/>
    <n v="1136"/>
    <n v="4"/>
    <n v="46745.52"/>
    <n v="2"/>
    <n v="42495.927271533998"/>
  </r>
  <r>
    <s v="MAC-CGM-2087"/>
    <s v="Counterparty_087"/>
    <x v="7"/>
    <s v="Unlisted Equity"/>
    <x v="3"/>
    <n v="200372276.06999999"/>
    <d v="2033-03-28T00:00:00"/>
    <x v="6"/>
    <s v="GL-422-X"/>
    <s v="Yes"/>
    <n v="3214960325.25"/>
    <n v="596134496.48000002"/>
    <n v="56434.683999999994"/>
    <n v="1200"/>
    <n v="4"/>
    <n v="56434.683999999994"/>
    <n v="4"/>
    <n v="3517.2894649926629"/>
  </r>
  <r>
    <s v="MAC-CGM-2088"/>
    <s v="Counterparty_088"/>
    <x v="2"/>
    <s v="Corporate Loan"/>
    <x v="2"/>
    <n v="287180279.19"/>
    <d v="2027-10-18T00:00:00"/>
    <x v="4"/>
    <s v="GL-762-X"/>
    <s v="In Progress"/>
    <n v="1441590873.4400001"/>
    <n v="773500748.97000003"/>
    <n v="116025.11"/>
    <n v="1136"/>
    <n v="4"/>
    <n v="116025.11"/>
    <n v="2"/>
    <n v="23113.439531800188"/>
  </r>
  <r>
    <s v="MAC-CGM-2089"/>
    <s v="Counterparty_089"/>
    <x v="7"/>
    <s v="Listed Equity"/>
    <x v="0"/>
    <n v="74341587.540000007"/>
    <d v="2026-07-04T00:00:00"/>
    <x v="6"/>
    <s v="GL-485-X"/>
    <s v="Yes"/>
    <n v="997310255.53999996"/>
    <n v="167730248.83000001"/>
    <n v="56434.683999999994"/>
    <n v="1200"/>
    <n v="4"/>
    <n v="56434.683999999994"/>
    <n v="4"/>
    <n v="4206.7591078832211"/>
  </r>
  <r>
    <s v="MAC-CGM-2090"/>
    <s v="Counterparty_090"/>
    <x v="0"/>
    <s v="Unlisted Equity"/>
    <x v="1"/>
    <n v="164662628.30000001"/>
    <d v="2034-10-11T00:00:00"/>
    <x v="1"/>
    <s v="GL-492-X"/>
    <s v="In Progress"/>
    <n v="4670522574.0600004"/>
    <n v="415510151.91000003"/>
    <n v="8310.2000000000007"/>
    <n v="25"/>
    <n v="5"/>
    <n v="8310.2000000000007"/>
    <n v="2"/>
    <n v="292.98207042154445"/>
  </r>
  <r>
    <s v="MAC-CGM-2091"/>
    <s v="Counterparty_091"/>
    <x v="0"/>
    <s v="Listed Equity"/>
    <x v="2"/>
    <n v="352729621.56999999"/>
    <d v="2034-12-22T00:00:00"/>
    <x v="7"/>
    <s v="GL-576-X"/>
    <s v="Yes"/>
    <n v="9861361499.1599998"/>
    <n v="981682297.04999995"/>
    <n v="4461.59"/>
    <n v="25"/>
    <n v="5"/>
    <n v="4461.59"/>
    <n v="5"/>
    <n v="159.58597121042044"/>
  </r>
  <r>
    <s v="MAC-CGM-2092"/>
    <s v="Counterparty_092"/>
    <x v="3"/>
    <s v="Corporate Loan"/>
    <x v="0"/>
    <n v="151772521.11000001"/>
    <d v="2027-07-22T00:00:00"/>
    <x v="2"/>
    <s v="GL-917-X"/>
    <s v="In Progress"/>
    <n v="6303644855.3800001"/>
    <n v="378784440.31"/>
    <n v="56817.67"/>
    <n v="280"/>
    <n v="4"/>
    <n v="56817.67"/>
    <n v="2"/>
    <n v="1367.9960114085734"/>
  </r>
  <r>
    <s v="MAC-CGM-2093"/>
    <s v="Counterparty_093"/>
    <x v="8"/>
    <s v="Listed Equity"/>
    <x v="0"/>
    <n v="434200797.69999999"/>
    <d v="2027-07-09T00:00:00"/>
    <x v="6"/>
    <s v="GL-924-X"/>
    <s v="No"/>
    <n v="4248514495.96"/>
    <n v="1080934928.53"/>
    <n v="50221.180256410262"/>
    <n v="732"/>
    <n v="4.1760000000000002"/>
    <n v="50221.180256410262"/>
    <n v="3.0759493670886076"/>
    <n v="5132.6355481438686"/>
  </r>
  <r>
    <s v="MAC-CGM-2094"/>
    <s v="Counterparty_094"/>
    <x v="3"/>
    <s v="Corporate Loan"/>
    <x v="1"/>
    <n v="315807735.39999998"/>
    <d v="2026-02-19T00:00:00"/>
    <x v="1"/>
    <s v="GL-875-X"/>
    <s v="In Progress"/>
    <n v="5975899295.0100002"/>
    <n v="454433872.01999998"/>
    <n v="50059.561999999991"/>
    <n v="280"/>
    <n v="4"/>
    <n v="50059.561999999991"/>
    <n v="4"/>
    <n v="2645.4925242024906"/>
  </r>
  <r>
    <s v="MAC-CGM-2095"/>
    <s v="Counterparty_095"/>
    <x v="3"/>
    <s v="Project Finance"/>
    <x v="0"/>
    <n v="352473604.24000001"/>
    <d v="2027-03-06T00:00:00"/>
    <x v="2"/>
    <s v="GL-570-X"/>
    <s v="No"/>
    <n v="3219246888.29"/>
    <n v="207908559.09"/>
    <n v="50059.561999999991"/>
    <n v="280"/>
    <n v="4"/>
    <n v="50059.561999999991"/>
    <n v="4"/>
    <n v="5480.9944241922494"/>
  </r>
  <r>
    <s v="MAC-CGM-2096"/>
    <s v="Counterparty_096"/>
    <x v="8"/>
    <s v="Corporate Loan"/>
    <x v="0"/>
    <n v="18670302.079999998"/>
    <d v="2035-06-18T00:00:00"/>
    <x v="8"/>
    <s v="GL-899-X"/>
    <s v="Yes"/>
    <n v="80018313.560000002"/>
    <n v="22709680.379999999"/>
    <n v="50221.180256410262"/>
    <n v="732"/>
    <n v="4.1760000000000002"/>
    <n v="50221.180256410262"/>
    <n v="3.0759493670886076"/>
    <n v="11717.875127401165"/>
  </r>
  <r>
    <s v="MAC-CGM-2097"/>
    <s v="Counterparty_097"/>
    <x v="6"/>
    <s v="Project Finance"/>
    <x v="3"/>
    <n v="291248669.79000002"/>
    <d v="2028-06-02T00:00:00"/>
    <x v="2"/>
    <s v="GL-764-X"/>
    <s v="No"/>
    <n v="1463391604.78"/>
    <n v="172818360.63"/>
    <n v="159987.52599999998"/>
    <n v="1850"/>
    <n v="4"/>
    <n v="159987.52599999998"/>
    <n v="4"/>
    <n v="31841.206399088307"/>
  </r>
  <r>
    <s v="MAC-CGM-2098"/>
    <s v="Counterparty_098"/>
    <x v="1"/>
    <s v="Project Finance"/>
    <x v="3"/>
    <n v="81745600.280000001"/>
    <d v="2035-01-05T00:00:00"/>
    <x v="4"/>
    <s v="GL-413-X"/>
    <s v="No"/>
    <n v="229275889.86000001"/>
    <n v="66839394.840000004"/>
    <n v="10025.91"/>
    <n v="850"/>
    <n v="4"/>
    <n v="10025.91"/>
    <n v="2"/>
    <n v="3574.6193452948824"/>
  </r>
  <r>
    <s v="MAC-CGM-2099"/>
    <s v="Counterparty_099"/>
    <x v="6"/>
    <s v="Unlisted Equity"/>
    <x v="0"/>
    <n v="430900286.06"/>
    <d v="2032-07-10T00:00:00"/>
    <x v="9"/>
    <s v="GL-781-X"/>
    <s v="Yes"/>
    <n v="3524720213.6300001"/>
    <n v="447943499.25"/>
    <n v="159987.52599999998"/>
    <n v="1850"/>
    <n v="4"/>
    <n v="159987.52599999998"/>
    <n v="4"/>
    <n v="19558.622114983104"/>
  </r>
  <r>
    <s v="MAC-CGM-2100"/>
    <s v="Counterparty_100"/>
    <x v="6"/>
    <s v="Unlisted Equity"/>
    <x v="1"/>
    <n v="412187277.52999997"/>
    <d v="2029-01-12T00:00:00"/>
    <x v="3"/>
    <s v="GL-363-X"/>
    <s v="Yes"/>
    <n v="1969520536.6400001"/>
    <n v="259350008.63"/>
    <n v="159987.52599999998"/>
    <n v="1850"/>
    <n v="4"/>
    <n v="159987.52599999998"/>
    <n v="4"/>
    <n v="33482.67842548211"/>
  </r>
  <r>
    <s v="MAC-CGM-2101"/>
    <s v="Counterparty_101"/>
    <x v="9"/>
    <s v="Project Finance"/>
    <x v="2"/>
    <n v="386146808.77999997"/>
    <d v="2034-06-09T00:00:00"/>
    <x v="3"/>
    <s v="GL-202-X"/>
    <s v="No"/>
    <n v="10578462774.73"/>
    <n v="808427210.10000002"/>
    <n v="8084.27"/>
    <n v="15"/>
    <n v="4"/>
    <n v="8084.27"/>
    <n v="2"/>
    <n v="295.10101120486934"/>
  </r>
  <r>
    <s v="MAC-CGM-2102"/>
    <s v="Counterparty_102"/>
    <x v="8"/>
    <s v="Project Finance"/>
    <x v="0"/>
    <n v="47246995.170000002"/>
    <d v="2028-06-25T00:00:00"/>
    <x v="9"/>
    <s v="GL-449-X"/>
    <s v="No"/>
    <n v="267294082.88999999"/>
    <n v="84607597.739999995"/>
    <n v="12691.14"/>
    <n v="1136"/>
    <n v="4"/>
    <n v="12691.14"/>
    <n v="2"/>
    <n v="2243.2903257666044"/>
  </r>
  <r>
    <s v="MAC-CGM-2103"/>
    <s v="Counterparty_103"/>
    <x v="2"/>
    <s v="Listed Equity"/>
    <x v="1"/>
    <n v="272614385.19999999"/>
    <d v="2033-12-10T00:00:00"/>
    <x v="0"/>
    <s v="GL-919-X"/>
    <s v="No"/>
    <n v="532194773.52999997"/>
    <n v="320889111.77999997"/>
    <n v="50221.180256410262"/>
    <n v="732"/>
    <n v="4.1760000000000002"/>
    <n v="50221.180256410262"/>
    <n v="3.0759493670886076"/>
    <n v="25725.574283280512"/>
  </r>
  <r>
    <s v="MAC-CGM-2104"/>
    <s v="Counterparty_104"/>
    <x v="7"/>
    <s v="Unlisted Equity"/>
    <x v="2"/>
    <n v="70708984.010000005"/>
    <d v="2027-02-04T00:00:00"/>
    <x v="6"/>
    <s v="GL-769-X"/>
    <s v="No"/>
    <n v="297409103.12"/>
    <n v="39835805.280000001"/>
    <n v="5975.37"/>
    <n v="1200"/>
    <n v="4"/>
    <n v="5975.37"/>
    <n v="2"/>
    <n v="1420.6436095984475"/>
  </r>
  <r>
    <s v="MAC-CGM-2105"/>
    <s v="Counterparty_105"/>
    <x v="9"/>
    <s v="Unlisted Equity"/>
    <x v="3"/>
    <n v="25328420.800000001"/>
    <d v="2026-05-30T00:00:00"/>
    <x v="2"/>
    <s v="GL-703-X"/>
    <s v="Yes"/>
    <n v="656014113.21000004"/>
    <n v="56734029.289999999"/>
    <n v="6167.4220000000005"/>
    <n v="15"/>
    <n v="4"/>
    <n v="6167.4220000000005"/>
    <n v="4"/>
    <n v="238.12149239108228"/>
  </r>
  <r>
    <s v="MAC-CGM-2106"/>
    <s v="Counterparty_106"/>
    <x v="2"/>
    <s v="Listed Equity"/>
    <x v="3"/>
    <n v="373301108.27999997"/>
    <d v="2029-10-31T00:00:00"/>
    <x v="3"/>
    <s v="GL-573-X"/>
    <s v="No"/>
    <n v="509003105.57999998"/>
    <n v="332645857.64999998"/>
    <n v="50221.180256410262"/>
    <n v="732"/>
    <n v="4.1760000000000002"/>
    <n v="50221.180256410262"/>
    <n v="3.0759493670886076"/>
    <n v="36832.039025547834"/>
  </r>
  <r>
    <s v="MAC-CGM-2107"/>
    <s v="Counterparty_107"/>
    <x v="2"/>
    <s v="Unlisted Equity"/>
    <x v="2"/>
    <n v="481510965.26999998"/>
    <d v="2033-11-08T00:00:00"/>
    <x v="5"/>
    <s v="GL-740-X"/>
    <s v="Yes"/>
    <n v="1991582148.28"/>
    <n v="1100969913.9300001"/>
    <n v="50221.180256410262"/>
    <n v="732"/>
    <n v="4.1760000000000002"/>
    <n v="50221.180256410262"/>
    <n v="3.0759493670886076"/>
    <n v="12142.129815306507"/>
  </r>
  <r>
    <s v="MAC-CGM-2108"/>
    <s v="Counterparty_108"/>
    <x v="5"/>
    <s v="Corporate Loan"/>
    <x v="0"/>
    <n v="90780688.439999998"/>
    <d v="2027-06-27T00:00:00"/>
    <x v="8"/>
    <s v="GL-195-X"/>
    <s v="No"/>
    <n v="258335683.75"/>
    <n v="262098663.09"/>
    <n v="50221.180256410262"/>
    <n v="732"/>
    <n v="4.1760000000000002"/>
    <n v="50221.180256410262"/>
    <n v="3.0759493670886076"/>
    <n v="17648.020017080813"/>
  </r>
  <r>
    <s v="MAC-CGM-2109"/>
    <s v="Counterparty_109"/>
    <x v="6"/>
    <s v="Project Finance"/>
    <x v="1"/>
    <n v="276867199.02999997"/>
    <d v="2027-08-13T00:00:00"/>
    <x v="5"/>
    <s v="GL-587-X"/>
    <s v="In Progress"/>
    <n v="4078336005.3699999"/>
    <n v="561847123.50999999"/>
    <n v="159987.52599999998"/>
    <n v="1850"/>
    <n v="4"/>
    <n v="159987.52599999998"/>
    <n v="4"/>
    <n v="10861.1203552221"/>
  </r>
  <r>
    <s v="MAC-CGM-2110"/>
    <s v="Counterparty_110"/>
    <x v="3"/>
    <s v="Listed Equity"/>
    <x v="2"/>
    <n v="467633928.68000001"/>
    <d v="2028-07-15T00:00:00"/>
    <x v="7"/>
    <s v="GL-803-X"/>
    <s v="No"/>
    <n v="11257167926.52"/>
    <n v="649979219.88999999"/>
    <n v="50059.561999999991"/>
    <n v="280"/>
    <n v="4"/>
    <n v="50059.561999999991"/>
    <n v="4"/>
    <n v="2079.5238908101442"/>
  </r>
  <r>
    <s v="MAC-CGM-2111"/>
    <s v="Counterparty_111"/>
    <x v="0"/>
    <s v="Listed Equity"/>
    <x v="0"/>
    <n v="279405255.99000001"/>
    <d v="2033-11-07T00:00:00"/>
    <x v="7"/>
    <s v="GL-175-X"/>
    <s v="Yes"/>
    <n v="1806873158.1099999"/>
    <n v="220780892.58000001"/>
    <n v="4461.59"/>
    <n v="25"/>
    <n v="5"/>
    <n v="4461.59"/>
    <n v="5"/>
    <n v="689.91655029972696"/>
  </r>
  <r>
    <s v="MAC-CGM-2112"/>
    <s v="Counterparty_112"/>
    <x v="8"/>
    <s v="Listed Equity"/>
    <x v="2"/>
    <n v="285188419.19"/>
    <d v="2035-09-07T00:00:00"/>
    <x v="3"/>
    <s v="GL-185-X"/>
    <s v="No"/>
    <n v="2766970660.79"/>
    <n v="752512838.67999995"/>
    <n v="50221.180256410262"/>
    <n v="732"/>
    <n v="4.1760000000000002"/>
    <n v="50221.180256410262"/>
    <n v="3.0759493670886076"/>
    <n v="5176.2381185106078"/>
  </r>
  <r>
    <s v="MAC-CGM-2113"/>
    <s v="Counterparty_113"/>
    <x v="2"/>
    <s v="Corporate Loan"/>
    <x v="2"/>
    <n v="12124776.869999999"/>
    <d v="2029-06-27T00:00:00"/>
    <x v="3"/>
    <s v="GL-146-X"/>
    <s v="In Progress"/>
    <n v="15296014.060000001"/>
    <n v="9027931.8599999994"/>
    <n v="50221.180256410262"/>
    <n v="732"/>
    <n v="4.1760000000000002"/>
    <n v="50221.180256410262"/>
    <n v="3.0759493670886076"/>
    <n v="39809.103363038084"/>
  </r>
  <r>
    <s v="MAC-CGM-2114"/>
    <s v="Counterparty_114"/>
    <x v="4"/>
    <s v="Corporate Loan"/>
    <x v="3"/>
    <n v="25160757.149999999"/>
    <d v="2030-12-09T00:00:00"/>
    <x v="9"/>
    <s v="GL-552-X"/>
    <s v="In Progress"/>
    <n v="27676832.870000001"/>
    <n v="23475104.039999999"/>
    <n v="50221.180256410262"/>
    <n v="732"/>
    <n v="4.1760000000000002"/>
    <n v="50221.180256410262"/>
    <n v="3.0759493670886076"/>
    <n v="45655.61840667043"/>
  </r>
  <r>
    <s v="MAC-CGM-2115"/>
    <s v="Counterparty_115"/>
    <x v="3"/>
    <s v="Unlisted Equity"/>
    <x v="1"/>
    <n v="239716045.40000001"/>
    <d v="2032-04-14T00:00:00"/>
    <x v="6"/>
    <s v="GL-531-X"/>
    <s v="In Progress"/>
    <n v="8091018265.3000002"/>
    <n v="488930897.86000001"/>
    <n v="50059.561999999991"/>
    <n v="280"/>
    <n v="4"/>
    <n v="50059.561999999991"/>
    <n v="4"/>
    <n v="1483.1359717182854"/>
  </r>
  <r>
    <s v="MAC-CGM-2116"/>
    <s v="Counterparty_116"/>
    <x v="3"/>
    <s v="Project Finance"/>
    <x v="3"/>
    <n v="404421923.63999999"/>
    <d v="2030-07-24T00:00:00"/>
    <x v="1"/>
    <s v="GL-353-X"/>
    <s v="No"/>
    <n v="9580342876.6200008"/>
    <n v="580964847.38999999"/>
    <n v="50059.561999999991"/>
    <n v="280"/>
    <n v="4"/>
    <n v="50059.561999999991"/>
    <n v="4"/>
    <n v="2113.2003959923468"/>
  </r>
  <r>
    <s v="MAC-CGM-2117"/>
    <s v="Counterparty_117"/>
    <x v="6"/>
    <s v="Project Finance"/>
    <x v="3"/>
    <n v="219756566.37"/>
    <d v="2031-10-02T00:00:00"/>
    <x v="6"/>
    <s v="GL-621-X"/>
    <s v="Yes"/>
    <n v="4629528316.8100004"/>
    <n v="580426449.75999999"/>
    <n v="159987.52599999998"/>
    <n v="1850"/>
    <n v="4"/>
    <n v="159987.52599999998"/>
    <n v="4"/>
    <n v="7594.3610168945042"/>
  </r>
  <r>
    <s v="MAC-CGM-2118"/>
    <s v="Counterparty_118"/>
    <x v="6"/>
    <s v="Unlisted Equity"/>
    <x v="3"/>
    <n v="474827137.13999999"/>
    <d v="2034-10-07T00:00:00"/>
    <x v="8"/>
    <s v="GL-279-X"/>
    <s v="No"/>
    <n v="2546104094.2399998"/>
    <n v="321183459.31999999"/>
    <n v="159987.52599999998"/>
    <n v="1850"/>
    <n v="4"/>
    <n v="159987.52599999998"/>
    <n v="4"/>
    <n v="29836.336668460892"/>
  </r>
  <r>
    <s v="MAC-CGM-2119"/>
    <s v="Counterparty_119"/>
    <x v="8"/>
    <s v="Corporate Loan"/>
    <x v="1"/>
    <n v="190433244.24000001"/>
    <d v="2033-10-10T00:00:00"/>
    <x v="2"/>
    <s v="GL-541-X"/>
    <s v="Yes"/>
    <n v="1495896520.28"/>
    <n v="374094482.97000003"/>
    <n v="50221.180256410262"/>
    <n v="732"/>
    <n v="4.1760000000000002"/>
    <n v="50221.180256410262"/>
    <n v="3.0759493670886076"/>
    <n v="6393.3448310982812"/>
  </r>
  <r>
    <s v="MAC-CGM-2120"/>
    <s v="Counterparty_120"/>
    <x v="7"/>
    <s v="Project Finance"/>
    <x v="2"/>
    <n v="253014742.53999999"/>
    <d v="2028-11-11T00:00:00"/>
    <x v="3"/>
    <s v="GL-615-X"/>
    <s v="In Progress"/>
    <n v="2478184929.8099999"/>
    <n v="372039156.12"/>
    <n v="56434.683999999994"/>
    <n v="1200"/>
    <n v="4"/>
    <n v="56434.683999999994"/>
    <n v="4"/>
    <n v="5761.8004495253699"/>
  </r>
  <r>
    <s v="MAC-CGM-2121"/>
    <s v="Counterparty_121"/>
    <x v="6"/>
    <s v="Listed Equity"/>
    <x v="0"/>
    <n v="309846326.37"/>
    <d v="2027-01-01T00:00:00"/>
    <x v="7"/>
    <s v="GL-357-X"/>
    <s v="No"/>
    <n v="5096675111.9300003"/>
    <n v="577566557.62"/>
    <n v="159987.52599999998"/>
    <n v="1850"/>
    <n v="4"/>
    <n v="159987.52599999998"/>
    <n v="4"/>
    <n v="9726.2521364351178"/>
  </r>
  <r>
    <s v="MAC-CGM-2122"/>
    <s v="Counterparty_122"/>
    <x v="0"/>
    <s v="Listed Equity"/>
    <x v="3"/>
    <n v="18123098.719999999"/>
    <d v="2028-07-14T00:00:00"/>
    <x v="9"/>
    <s v="GL-763-X"/>
    <s v="Yes"/>
    <n v="611412774.36000001"/>
    <n v="52610928.049999997"/>
    <n v="4461.59"/>
    <n v="25"/>
    <n v="5"/>
    <n v="4461.59"/>
    <n v="5"/>
    <n v="132.24754111950509"/>
  </r>
  <r>
    <s v="MAC-CGM-2123"/>
    <s v="Counterparty_123"/>
    <x v="1"/>
    <s v="Unlisted Equity"/>
    <x v="1"/>
    <n v="340198329.48000002"/>
    <d v="2032-09-23T00:00:00"/>
    <x v="1"/>
    <s v="GL-790-X"/>
    <s v="Yes"/>
    <n v="654525325.80999994"/>
    <n v="229090661.46000001"/>
    <n v="31523.905999999999"/>
    <n v="850"/>
    <n v="4"/>
    <n v="31523.905999999999"/>
    <n v="4"/>
    <n v="16384.973563265441"/>
  </r>
  <r>
    <s v="MAC-CGM-2124"/>
    <s v="Counterparty_124"/>
    <x v="2"/>
    <s v="Corporate Loan"/>
    <x v="0"/>
    <n v="411216540.49000001"/>
    <d v="2029-08-14T00:00:00"/>
    <x v="2"/>
    <s v="GL-676-X"/>
    <s v="In Progress"/>
    <n v="552258541.57000005"/>
    <n v="302699539.23000002"/>
    <n v="50221.180256410262"/>
    <n v="732"/>
    <n v="4.1760000000000002"/>
    <n v="50221.180256410262"/>
    <n v="3.0759493670886076"/>
    <n v="37395.130088265112"/>
  </r>
  <r>
    <s v="MAC-CGM-2125"/>
    <s v="Counterparty_125"/>
    <x v="9"/>
    <s v="Listed Equity"/>
    <x v="1"/>
    <n v="480789329.08999997"/>
    <d v="2029-01-01T00:00:00"/>
    <x v="8"/>
    <s v="GL-352-X"/>
    <s v="Yes"/>
    <n v="8518169300.0100002"/>
    <n v="623794862.75999999"/>
    <n v="6167.4220000000005"/>
    <n v="15"/>
    <n v="4"/>
    <n v="6167.4220000000005"/>
    <n v="4"/>
    <n v="348.10656857823017"/>
  </r>
  <r>
    <s v="MAC-CGM-2126"/>
    <s v="Counterparty_126"/>
    <x v="9"/>
    <s v="Unlisted Equity"/>
    <x v="2"/>
    <n v="51749265.57"/>
    <d v="2031-10-14T00:00:00"/>
    <x v="7"/>
    <s v="GL-948-X"/>
    <s v="In Progress"/>
    <n v="1437513713.96"/>
    <n v="131244997.29000001"/>
    <n v="6167.4220000000005"/>
    <n v="15"/>
    <n v="4"/>
    <n v="6167.4220000000005"/>
    <n v="4"/>
    <n v="222.02192289425452"/>
  </r>
  <r>
    <s v="MAC-CGM-2127"/>
    <s v="Counterparty_127"/>
    <x v="3"/>
    <s v="Unlisted Equity"/>
    <x v="1"/>
    <n v="329582704.50999999"/>
    <d v="2033-05-06T00:00:00"/>
    <x v="6"/>
    <s v="GL-701-X"/>
    <s v="In Progress"/>
    <n v="12198610926.469999"/>
    <n v="738872650.49000001"/>
    <n v="110830.9"/>
    <n v="280"/>
    <n v="4"/>
    <n v="110830.9"/>
    <n v="2"/>
    <n v="2994.435020959203"/>
  </r>
  <r>
    <s v="MAC-CGM-2128"/>
    <s v="Counterparty_128"/>
    <x v="6"/>
    <s v="Project Finance"/>
    <x v="1"/>
    <n v="173609161.88"/>
    <d v="2026-05-25T00:00:00"/>
    <x v="5"/>
    <s v="GL-295-X"/>
    <s v="In Progress"/>
    <n v="3413313030.3400002"/>
    <n v="405842250.52999997"/>
    <n v="159987.52599999998"/>
    <n v="1850"/>
    <n v="4"/>
    <n v="159987.52599999998"/>
    <n v="4"/>
    <n v="8137.3434118780506"/>
  </r>
  <r>
    <s v="MAC-CGM-2129"/>
    <s v="Counterparty_129"/>
    <x v="2"/>
    <s v="Unlisted Equity"/>
    <x v="1"/>
    <n v="347980727.55000001"/>
    <d v="2030-08-07T00:00:00"/>
    <x v="0"/>
    <s v="GL-519-X"/>
    <s v="No"/>
    <n v="614159649.24000001"/>
    <n v="328354217.63"/>
    <n v="49253.13"/>
    <n v="1136"/>
    <n v="4"/>
    <n v="49253.13"/>
    <n v="2"/>
    <n v="27906.65266388599"/>
  </r>
  <r>
    <s v="MAC-CGM-2130"/>
    <s v="Counterparty_130"/>
    <x v="6"/>
    <s v="Listed Equity"/>
    <x v="2"/>
    <n v="211883285.69999999"/>
    <d v="2034-06-26T00:00:00"/>
    <x v="5"/>
    <s v="GL-775-X"/>
    <s v="No"/>
    <n v="4564337431.9300003"/>
    <n v="630620352.82000005"/>
    <n v="159987.52599999998"/>
    <n v="1850"/>
    <n v="4"/>
    <n v="159987.52599999998"/>
    <n v="4"/>
    <n v="7426.8572789458158"/>
  </r>
  <r>
    <s v="MAC-CGM-2131"/>
    <s v="Counterparty_131"/>
    <x v="5"/>
    <s v="Listed Equity"/>
    <x v="0"/>
    <n v="92832574.170000002"/>
    <d v="2032-12-09T00:00:00"/>
    <x v="0"/>
    <s v="GL-291-X"/>
    <s v="No"/>
    <n v="190959559.34999999"/>
    <n v="226607321.5"/>
    <n v="33991.1"/>
    <n v="1136"/>
    <n v="4"/>
    <n v="33991.1"/>
    <n v="2"/>
    <n v="16524.343283000391"/>
  </r>
  <r>
    <s v="MAC-CGM-2132"/>
    <s v="Counterparty_132"/>
    <x v="9"/>
    <s v="Listed Equity"/>
    <x v="1"/>
    <n v="290082664.75"/>
    <d v="2029-02-26T00:00:00"/>
    <x v="9"/>
    <s v="GL-195-X"/>
    <s v="Yes"/>
    <n v="8949206571.5799999"/>
    <n v="767567978.64999998"/>
    <n v="7675.68"/>
    <n v="15"/>
    <n v="4"/>
    <n v="7675.68"/>
    <n v="2"/>
    <n v="248.8021357378471"/>
  </r>
  <r>
    <s v="MAC-CGM-2133"/>
    <s v="Counterparty_133"/>
    <x v="5"/>
    <s v="Project Finance"/>
    <x v="1"/>
    <n v="173697752.43000001"/>
    <d v="2035-01-05T00:00:00"/>
    <x v="3"/>
    <s v="GL-879-X"/>
    <s v="No"/>
    <n v="313831838.14999998"/>
    <n v="414504879.56999999"/>
    <n v="62175.73"/>
    <n v="1136"/>
    <n v="4"/>
    <n v="62175.73"/>
    <n v="2"/>
    <n v="34412.647933867782"/>
  </r>
  <r>
    <s v="MAC-CGM-2134"/>
    <s v="Counterparty_134"/>
    <x v="9"/>
    <s v="Listed Equity"/>
    <x v="2"/>
    <n v="217352043.55000001"/>
    <d v="2030-04-28T00:00:00"/>
    <x v="7"/>
    <s v="GL-316-X"/>
    <s v="Yes"/>
    <n v="5199145649.6999998"/>
    <n v="383220110.93000001"/>
    <n v="6167.4220000000005"/>
    <n v="15"/>
    <n v="4"/>
    <n v="6167.4220000000005"/>
    <n v="4"/>
    <n v="257.83116408992652"/>
  </r>
  <r>
    <s v="MAC-CGM-2135"/>
    <s v="Counterparty_135"/>
    <x v="6"/>
    <s v="Corporate Loan"/>
    <x v="1"/>
    <n v="122926895.44"/>
    <d v="2031-01-26T00:00:00"/>
    <x v="1"/>
    <s v="GL-980-X"/>
    <s v="Yes"/>
    <n v="2413140333.2399998"/>
    <n v="336673173.39999998"/>
    <n v="159987.52599999998"/>
    <n v="1850"/>
    <n v="4"/>
    <n v="159987.52599999998"/>
    <n v="4"/>
    <n v="8149.865803245978"/>
  </r>
  <r>
    <s v="MAC-CGM-2136"/>
    <s v="Counterparty_136"/>
    <x v="7"/>
    <s v="Listed Equity"/>
    <x v="2"/>
    <n v="255099924.36000001"/>
    <d v="2031-04-18T00:00:00"/>
    <x v="5"/>
    <s v="GL-441-X"/>
    <s v="In Progress"/>
    <n v="3715154069.8699999"/>
    <n v="704957146.42999995"/>
    <n v="56434.683999999994"/>
    <n v="1200"/>
    <n v="4"/>
    <n v="56434.683999999994"/>
    <n v="4"/>
    <n v="3875.0704140203425"/>
  </r>
  <r>
    <s v="MAC-CGM-2137"/>
    <s v="Counterparty_137"/>
    <x v="5"/>
    <s v="Corporate Loan"/>
    <x v="1"/>
    <n v="152329411.38"/>
    <d v="2034-07-18T00:00:00"/>
    <x v="1"/>
    <s v="GL-711-X"/>
    <s v="Yes"/>
    <n v="465220565.43000001"/>
    <n v="437970656.23000002"/>
    <n v="50221.180256410262"/>
    <n v="732"/>
    <n v="4.1760000000000002"/>
    <n v="50221.180256410262"/>
    <n v="3.0759493670886076"/>
    <n v="16444.163039518389"/>
  </r>
  <r>
    <s v="MAC-CGM-2138"/>
    <s v="Counterparty_138"/>
    <x v="0"/>
    <s v="Project Finance"/>
    <x v="1"/>
    <n v="10364637.48"/>
    <d v="2035-02-17T00:00:00"/>
    <x v="2"/>
    <s v="GL-175-X"/>
    <s v="Yes"/>
    <n v="211097410.80000001"/>
    <n v="21554227.870000001"/>
    <n v="4461.59"/>
    <n v="25"/>
    <n v="5"/>
    <n v="4461.59"/>
    <n v="5"/>
    <n v="219.05888262270054"/>
  </r>
  <r>
    <s v="MAC-CGM-2139"/>
    <s v="Counterparty_139"/>
    <x v="4"/>
    <s v="Project Finance"/>
    <x v="0"/>
    <n v="180678069.28"/>
    <d v="2031-01-24T00:00:00"/>
    <x v="9"/>
    <s v="GL-950-X"/>
    <s v="In Progress"/>
    <n v="198745876.21000001"/>
    <n v="238795223.38999999"/>
    <n v="35819.279999999999"/>
    <n v="1136"/>
    <n v="4"/>
    <n v="35819.279999999999"/>
    <n v="2"/>
    <n v="32562.981817854132"/>
  </r>
  <r>
    <s v="MAC-CGM-2140"/>
    <s v="Counterparty_140"/>
    <x v="7"/>
    <s v="Project Finance"/>
    <x v="3"/>
    <n v="249047700.59999999"/>
    <d v="2026-06-23T00:00:00"/>
    <x v="3"/>
    <s v="GL-168-X"/>
    <s v="In Progress"/>
    <n v="4340054512.21"/>
    <n v="617376202.00999999"/>
    <n v="56434.683999999994"/>
    <n v="1200"/>
    <n v="4"/>
    <n v="56434.683999999994"/>
    <n v="4"/>
    <n v="3238.4220623834271"/>
  </r>
  <r>
    <s v="MAC-CGM-2141"/>
    <s v="Counterparty_141"/>
    <x v="2"/>
    <s v="Corporate Loan"/>
    <x v="3"/>
    <n v="150139331.99000001"/>
    <d v="2034-07-24T00:00:00"/>
    <x v="9"/>
    <s v="GL-990-X"/>
    <s v="No"/>
    <n v="364685132.50999999"/>
    <n v="260649501.66999999"/>
    <n v="50221.180256410262"/>
    <n v="732"/>
    <n v="4.1760000000000002"/>
    <n v="50221.180256410262"/>
    <n v="3.0759493670886076"/>
    <n v="20675.848240783591"/>
  </r>
  <r>
    <s v="MAC-CGM-2142"/>
    <s v="Counterparty_142"/>
    <x v="6"/>
    <s v="Listed Equity"/>
    <x v="3"/>
    <n v="110300308.04000001"/>
    <d v="2034-11-27T00:00:00"/>
    <x v="5"/>
    <s v="GL-138-X"/>
    <s v="In Progress"/>
    <n v="1532526525.7"/>
    <n v="176902529.80000001"/>
    <n v="159987.52599999998"/>
    <n v="1850"/>
    <n v="4"/>
    <n v="159987.52599999998"/>
    <n v="4"/>
    <n v="11514.758866765569"/>
  </r>
  <r>
    <s v="MAC-CGM-2143"/>
    <s v="Counterparty_143"/>
    <x v="9"/>
    <s v="Unlisted Equity"/>
    <x v="2"/>
    <n v="50147021.009999998"/>
    <d v="2028-12-31T00:00:00"/>
    <x v="6"/>
    <s v="GL-497-X"/>
    <s v="No"/>
    <n v="408881947.19"/>
    <n v="39749915.840000004"/>
    <n v="397.5"/>
    <n v="15"/>
    <n v="4"/>
    <n v="397.5"/>
    <n v="2"/>
    <n v="48.751090598314654"/>
  </r>
  <r>
    <s v="MAC-CGM-2144"/>
    <s v="Counterparty_144"/>
    <x v="1"/>
    <s v="Corporate Loan"/>
    <x v="1"/>
    <n v="277016796.75"/>
    <d v="2029-04-01T00:00:00"/>
    <x v="2"/>
    <s v="GL-314-X"/>
    <s v="No"/>
    <n v="1619218633.3499999"/>
    <n v="566650367.36000001"/>
    <n v="31523.905999999999"/>
    <n v="850"/>
    <n v="4"/>
    <n v="31523.905999999999"/>
    <n v="4"/>
    <n v="5393.1268337130796"/>
  </r>
  <r>
    <s v="MAC-CGM-2145"/>
    <s v="Counterparty_145"/>
    <x v="4"/>
    <s v="Corporate Loan"/>
    <x v="2"/>
    <n v="275228306.23000002"/>
    <d v="2033-06-28T00:00:00"/>
    <x v="5"/>
    <s v="GL-173-X"/>
    <s v="In Progress"/>
    <n v="308392571.63"/>
    <n v="619930520.03999996"/>
    <n v="92989.58"/>
    <n v="1136"/>
    <n v="4"/>
    <n v="92989.58"/>
    <n v="2"/>
    <n v="82989.562508480987"/>
  </r>
  <r>
    <s v="MAC-CGM-2146"/>
    <s v="Counterparty_146"/>
    <x v="9"/>
    <s v="Unlisted Equity"/>
    <x v="0"/>
    <n v="419297117.75"/>
    <d v="2034-03-10T00:00:00"/>
    <x v="4"/>
    <s v="GL-618-X"/>
    <s v="Yes"/>
    <n v="9490569648.5599995"/>
    <n v="949961884.58000004"/>
    <n v="6167.4220000000005"/>
    <n v="15"/>
    <n v="4"/>
    <n v="6167.4220000000005"/>
    <n v="4"/>
    <n v="272.47914132744506"/>
  </r>
  <r>
    <s v="MAC-CGM-2147"/>
    <s v="Counterparty_147"/>
    <x v="6"/>
    <s v="Project Finance"/>
    <x v="2"/>
    <n v="215915280.15000001"/>
    <d v="2029-05-06T00:00:00"/>
    <x v="6"/>
    <s v="GL-492-X"/>
    <s v="No"/>
    <n v="4562403812.9099998"/>
    <n v="640534042.57000005"/>
    <n v="159987.52599999998"/>
    <n v="1850"/>
    <n v="4"/>
    <n v="159987.52599999998"/>
    <n v="4"/>
    <n v="7571.392825652285"/>
  </r>
  <r>
    <s v="MAC-CGM-2148"/>
    <s v="Counterparty_148"/>
    <x v="9"/>
    <s v="Listed Equity"/>
    <x v="1"/>
    <n v="411820729.35000002"/>
    <d v="2033-06-04T00:00:00"/>
    <x v="8"/>
    <s v="GL-616-X"/>
    <s v="No"/>
    <n v="14751280567.549999"/>
    <n v="1042729641.1799999"/>
    <n v="10427.299999999999"/>
    <n v="15"/>
    <n v="4"/>
    <n v="10427.299999999999"/>
    <n v="2"/>
    <n v="291.10545836933147"/>
  </r>
  <r>
    <s v="MAC-CGM-2149"/>
    <s v="Counterparty_149"/>
    <x v="5"/>
    <s v="Corporate Loan"/>
    <x v="2"/>
    <n v="259096453.5"/>
    <d v="2030-01-15T00:00:00"/>
    <x v="2"/>
    <s v="GL-747-X"/>
    <s v="No"/>
    <n v="528278662.98000002"/>
    <n v="617542266.61000001"/>
    <n v="50221.180256410262"/>
    <n v="732"/>
    <n v="4.1760000000000002"/>
    <n v="50221.180256410262"/>
    <n v="3.0759493670886076"/>
    <n v="24631.185408131358"/>
  </r>
  <r>
    <s v="MAC-CGM-2150"/>
    <s v="Counterparty_150"/>
    <x v="4"/>
    <s v="Corporate Loan"/>
    <x v="3"/>
    <n v="190264043.90000001"/>
    <d v="2031-03-02T00:00:00"/>
    <x v="4"/>
    <s v="GL-599-X"/>
    <s v="No"/>
    <n v="285388853.58999997"/>
    <n v="464789809.26999998"/>
    <n v="50221.180256410262"/>
    <n v="732"/>
    <n v="4.1760000000000002"/>
    <n v="50221.180256410262"/>
    <n v="3.0759493670886076"/>
    <n v="33481.632953832624"/>
  </r>
  <r>
    <s v="MAC-CGM-2151"/>
    <s v="Counterparty_151"/>
    <x v="5"/>
    <s v="Unlisted Equity"/>
    <x v="3"/>
    <n v="122159170.87"/>
    <d v="2035-05-22T00:00:00"/>
    <x v="5"/>
    <s v="GL-400-X"/>
    <s v="Yes"/>
    <n v="256798041.16999999"/>
    <n v="337878335.93000001"/>
    <n v="50221.180256410262"/>
    <n v="732"/>
    <n v="4.1760000000000002"/>
    <n v="50221.180256410262"/>
    <n v="3.0759493670886076"/>
    <n v="23890.282465879653"/>
  </r>
  <r>
    <s v="MAC-CGM-2152"/>
    <s v="Counterparty_152"/>
    <x v="6"/>
    <s v="Listed Equity"/>
    <x v="1"/>
    <n v="377922201.69999999"/>
    <d v="2034-09-07T00:00:00"/>
    <x v="2"/>
    <s v="GL-544-X"/>
    <s v="In Progress"/>
    <n v="1478886362.5599999"/>
    <n v="199688086.91999999"/>
    <n v="159987.52599999998"/>
    <n v="1850"/>
    <n v="4"/>
    <n v="159987.52599999998"/>
    <n v="4"/>
    <n v="40884.032472780978"/>
  </r>
  <r>
    <s v="MAC-CGM-2153"/>
    <s v="Counterparty_153"/>
    <x v="2"/>
    <s v="Corporate Loan"/>
    <x v="3"/>
    <n v="192103857.11000001"/>
    <d v="2032-02-23T00:00:00"/>
    <x v="6"/>
    <s v="GL-957-X"/>
    <s v="No"/>
    <n v="220473566.38999999"/>
    <n v="153115378.58000001"/>
    <n v="22967.31"/>
    <n v="1136"/>
    <n v="4"/>
    <n v="22967.31"/>
    <n v="2"/>
    <n v="20011.962933626291"/>
  </r>
  <r>
    <s v="MAC-CGM-2154"/>
    <s v="Counterparty_154"/>
    <x v="0"/>
    <s v="Listed Equity"/>
    <x v="3"/>
    <n v="168475001.86000001"/>
    <d v="2034-11-02T00:00:00"/>
    <x v="2"/>
    <s v="GL-272-X"/>
    <s v="No"/>
    <n v="4117500053.3899999"/>
    <n v="398462281.98000002"/>
    <n v="7969.25"/>
    <n v="25"/>
    <n v="5"/>
    <n v="7969.25"/>
    <n v="2"/>
    <n v="326.07635486668818"/>
  </r>
  <r>
    <s v="MAC-CGM-2155"/>
    <s v="Counterparty_155"/>
    <x v="3"/>
    <s v="Project Finance"/>
    <x v="3"/>
    <n v="10620054.16"/>
    <d v="2029-06-27T00:00:00"/>
    <x v="6"/>
    <s v="GL-759-X"/>
    <s v="In Progress"/>
    <n v="219087697.81"/>
    <n v="15262891.720000001"/>
    <n v="2289.4299999999998"/>
    <n v="280"/>
    <n v="4"/>
    <n v="2289.4299999999998"/>
    <n v="2"/>
    <n v="110.97779947742471"/>
  </r>
  <r>
    <s v="MAC-CGM-2156"/>
    <s v="Counterparty_156"/>
    <x v="2"/>
    <s v="Project Finance"/>
    <x v="1"/>
    <n v="63814868.549999997"/>
    <d v="2028-05-08T00:00:00"/>
    <x v="5"/>
    <s v="GL-100-X"/>
    <s v="No"/>
    <n v="136171666.87"/>
    <n v="67579281.879999995"/>
    <n v="50221.180256410262"/>
    <n v="732"/>
    <n v="4.1760000000000002"/>
    <n v="50221.180256410262"/>
    <n v="3.0759493670886076"/>
    <n v="23535.424733753764"/>
  </r>
  <r>
    <s v="MAC-CGM-2157"/>
    <s v="Counterparty_157"/>
    <x v="4"/>
    <s v="Unlisted Equity"/>
    <x v="2"/>
    <n v="342114516.41000003"/>
    <d v="2032-08-22T00:00:00"/>
    <x v="5"/>
    <s v="GL-290-X"/>
    <s v="In Progress"/>
    <n v="490643435.30000001"/>
    <n v="1000581322.64"/>
    <n v="150087.20000000001"/>
    <n v="1136"/>
    <n v="4"/>
    <n v="150087.20000000001"/>
    <n v="2"/>
    <n v="104652.39347579418"/>
  </r>
  <r>
    <s v="MAC-CGM-2158"/>
    <s v="Counterparty_158"/>
    <x v="9"/>
    <s v="Listed Equity"/>
    <x v="1"/>
    <n v="241468870.99000001"/>
    <d v="2035-08-12T00:00:00"/>
    <x v="0"/>
    <s v="GL-216-X"/>
    <s v="Yes"/>
    <n v="6310983475.2600002"/>
    <n v="439292913.06999999"/>
    <n v="6167.4220000000005"/>
    <n v="15"/>
    <n v="4"/>
    <n v="6167.4220000000005"/>
    <n v="4"/>
    <n v="235.97596683574488"/>
  </r>
  <r>
    <s v="MAC-CGM-2159"/>
    <s v="Counterparty_159"/>
    <x v="4"/>
    <s v="Listed Equity"/>
    <x v="1"/>
    <n v="481795157.01999998"/>
    <d v="2027-12-16T00:00:00"/>
    <x v="3"/>
    <s v="GL-179-X"/>
    <s v="Yes"/>
    <n v="647076364.97000003"/>
    <n v="908008358.30999994"/>
    <n v="50221.180256410262"/>
    <n v="732"/>
    <n v="4.1760000000000002"/>
    <n v="50221.180256410262"/>
    <n v="3.0759493670886076"/>
    <n v="37393.301219537978"/>
  </r>
  <r>
    <s v="MAC-CGM-2160"/>
    <s v="Counterparty_160"/>
    <x v="1"/>
    <s v="Listed Equity"/>
    <x v="1"/>
    <n v="266212049"/>
    <d v="2026-08-21T00:00:00"/>
    <x v="3"/>
    <s v="GL-775-X"/>
    <s v="Yes"/>
    <n v="2023714976.9200001"/>
    <n v="551989777.24000001"/>
    <n v="31523.905999999999"/>
    <n v="850"/>
    <n v="4"/>
    <n v="31523.905999999999"/>
    <n v="4"/>
    <n v="4146.8505715739147"/>
  </r>
  <r>
    <s v="MAC-CGM-2161"/>
    <s v="Counterparty_161"/>
    <x v="7"/>
    <s v="Listed Equity"/>
    <x v="3"/>
    <n v="279157870.77999997"/>
    <d v="2030-05-05T00:00:00"/>
    <x v="5"/>
    <s v="GL-501-X"/>
    <s v="In Progress"/>
    <n v="3761267684.75"/>
    <n v="577548378.96000004"/>
    <n v="86632.26"/>
    <n v="1200"/>
    <n v="4"/>
    <n v="86632.26"/>
    <n v="2"/>
    <n v="6429.7676393821457"/>
  </r>
  <r>
    <s v="MAC-CGM-2162"/>
    <s v="Counterparty_162"/>
    <x v="8"/>
    <s v="Project Finance"/>
    <x v="1"/>
    <n v="87276638.799999997"/>
    <d v="2035-04-30T00:00:00"/>
    <x v="1"/>
    <s v="GL-472-X"/>
    <s v="No"/>
    <n v="166131443.21000001"/>
    <n v="53554337.700000003"/>
    <n v="8033.15"/>
    <n v="1136"/>
    <n v="4"/>
    <n v="8033.15"/>
    <n v="2"/>
    <n v="4220.1904553972963"/>
  </r>
  <r>
    <s v="MAC-CGM-2163"/>
    <s v="Counterparty_163"/>
    <x v="7"/>
    <s v="Unlisted Equity"/>
    <x v="2"/>
    <n v="349977902.64999998"/>
    <d v="2035-03-15T00:00:00"/>
    <x v="7"/>
    <s v="GL-111-X"/>
    <s v="Yes"/>
    <n v="5903103821.54"/>
    <n v="953920581.04999995"/>
    <n v="143088.09"/>
    <n v="1200"/>
    <n v="4"/>
    <n v="143088.09"/>
    <n v="2"/>
    <n v="8483.2778054257888"/>
  </r>
  <r>
    <s v="MAC-CGM-2164"/>
    <s v="Counterparty_164"/>
    <x v="4"/>
    <s v="Listed Equity"/>
    <x v="3"/>
    <n v="479557691.67000002"/>
    <d v="2033-11-01T00:00:00"/>
    <x v="0"/>
    <s v="GL-457-X"/>
    <s v="In Progress"/>
    <n v="527513460.83999997"/>
    <n v="572329545.38999999"/>
    <n v="50221.180256410262"/>
    <n v="732"/>
    <n v="4.1760000000000002"/>
    <n v="50221.180256410262"/>
    <n v="3.0759493670886076"/>
    <n v="45655.618414658777"/>
  </r>
  <r>
    <s v="MAC-CGM-2165"/>
    <s v="Counterparty_165"/>
    <x v="7"/>
    <s v="Unlisted Equity"/>
    <x v="3"/>
    <n v="230550092.63"/>
    <d v="2027-11-29T00:00:00"/>
    <x v="3"/>
    <s v="GL-107-X"/>
    <s v="No"/>
    <n v="2076549181.0799999"/>
    <n v="318938518.56999999"/>
    <n v="56434.683999999994"/>
    <n v="1200"/>
    <n v="4"/>
    <n v="56434.683999999994"/>
    <n v="4"/>
    <n v="6265.693941800997"/>
  </r>
  <r>
    <s v="MAC-CGM-2166"/>
    <s v="Counterparty_166"/>
    <x v="7"/>
    <s v="Unlisted Equity"/>
    <x v="0"/>
    <n v="88991552.430000007"/>
    <d v="2033-07-16T00:00:00"/>
    <x v="6"/>
    <s v="GL-747-X"/>
    <s v="Yes"/>
    <n v="1966182872.3599999"/>
    <n v="261278042.75"/>
    <n v="39191.71"/>
    <n v="1200"/>
    <n v="4"/>
    <n v="39191.71"/>
    <n v="2"/>
    <n v="1773.858965163321"/>
  </r>
  <r>
    <s v="MAC-CGM-2167"/>
    <s v="Counterparty_167"/>
    <x v="2"/>
    <s v="Project Finance"/>
    <x v="1"/>
    <n v="179909352.87"/>
    <d v="2034-12-24T00:00:00"/>
    <x v="3"/>
    <s v="GL-140-X"/>
    <s v="No"/>
    <n v="519948699.63"/>
    <n v="331076552.30000001"/>
    <n v="49661.48"/>
    <n v="1136"/>
    <n v="4"/>
    <n v="49661.48"/>
    <n v="2"/>
    <n v="17183.550484354248"/>
  </r>
  <r>
    <s v="MAC-CGM-2168"/>
    <s v="Counterparty_168"/>
    <x v="0"/>
    <s v="Corporate Loan"/>
    <x v="1"/>
    <n v="133675182.11"/>
    <d v="2031-05-31T00:00:00"/>
    <x v="4"/>
    <s v="GL-244-X"/>
    <s v="In Progress"/>
    <n v="2557653538.3699999"/>
    <n v="295666501.51999998"/>
    <n v="5913.33"/>
    <n v="25"/>
    <n v="5"/>
    <n v="5913.33"/>
    <n v="2"/>
    <n v="309.05885131349424"/>
  </r>
  <r>
    <s v="MAC-CGM-2169"/>
    <s v="Counterparty_169"/>
    <x v="8"/>
    <s v="Corporate Loan"/>
    <x v="1"/>
    <n v="143482936.05000001"/>
    <d v="2031-08-29T00:00:00"/>
    <x v="9"/>
    <s v="GL-560-X"/>
    <s v="In Progress"/>
    <n v="1471468147.1500001"/>
    <n v="366791614.58999997"/>
    <n v="55018.74"/>
    <n v="1136"/>
    <n v="4"/>
    <n v="55018.74"/>
    <n v="2"/>
    <n v="5364.8802172588548"/>
  </r>
  <r>
    <s v="MAC-CGM-2170"/>
    <s v="Counterparty_170"/>
    <x v="5"/>
    <s v="Project Finance"/>
    <x v="2"/>
    <n v="343941930.41000003"/>
    <d v="2028-08-12T00:00:00"/>
    <x v="2"/>
    <s v="GL-352-X"/>
    <s v="In Progress"/>
    <n v="608891429.58000004"/>
    <n v="699418981.78999996"/>
    <n v="104912.85"/>
    <n v="1136"/>
    <n v="4"/>
    <n v="104912.85"/>
    <n v="2"/>
    <n v="59261.678520758091"/>
  </r>
  <r>
    <s v="MAC-CGM-2171"/>
    <s v="Counterparty_171"/>
    <x v="4"/>
    <s v="Project Finance"/>
    <x v="2"/>
    <n v="470563254.43000001"/>
    <d v="2034-02-08T00:00:00"/>
    <x v="3"/>
    <s v="GL-914-X"/>
    <s v="No"/>
    <n v="615590972.83000004"/>
    <n v="1254126233.1800001"/>
    <n v="50221.180256410262"/>
    <n v="732"/>
    <n v="4.1760000000000002"/>
    <n v="50221.180256410262"/>
    <n v="3.0759493670886076"/>
    <n v="38389.520096647509"/>
  </r>
  <r>
    <s v="MAC-CGM-2172"/>
    <s v="Counterparty_172"/>
    <x v="1"/>
    <s v="Corporate Loan"/>
    <x v="2"/>
    <n v="459992393.16000003"/>
    <d v="2026-02-09T00:00:00"/>
    <x v="0"/>
    <s v="GL-897-X"/>
    <s v="Yes"/>
    <n v="2533921236.9200001"/>
    <n v="662921909.25"/>
    <n v="99438.29"/>
    <n v="850"/>
    <n v="4"/>
    <n v="99438.29"/>
    <n v="2"/>
    <n v="18051.412302158391"/>
  </r>
  <r>
    <s v="MAC-CGM-2173"/>
    <s v="Counterparty_173"/>
    <x v="0"/>
    <s v="Unlisted Equity"/>
    <x v="1"/>
    <n v="433701625.30000001"/>
    <d v="2028-06-25T00:00:00"/>
    <x v="3"/>
    <s v="GL-218-X"/>
    <s v="In Progress"/>
    <n v="3942465829.25"/>
    <n v="379940938.00999999"/>
    <n v="4461.59"/>
    <n v="25"/>
    <n v="5"/>
    <n v="4461.59"/>
    <n v="5"/>
    <n v="490.80928490642975"/>
  </r>
  <r>
    <s v="MAC-CGM-2174"/>
    <s v="Counterparty_174"/>
    <x v="3"/>
    <s v="Unlisted Equity"/>
    <x v="2"/>
    <n v="208571282.71000001"/>
    <d v="2027-02-08T00:00:00"/>
    <x v="1"/>
    <s v="GL-245-X"/>
    <s v="Yes"/>
    <n v="10888059773.99"/>
    <n v="610026366.52999997"/>
    <n v="91503.95"/>
    <n v="280"/>
    <n v="4"/>
    <n v="91503.95"/>
    <n v="2"/>
    <n v="1752.846385921139"/>
  </r>
  <r>
    <s v="MAC-CGM-2175"/>
    <s v="Counterparty_175"/>
    <x v="6"/>
    <s v="Project Finance"/>
    <x v="2"/>
    <n v="493701684.00999999"/>
    <d v="2032-03-04T00:00:00"/>
    <x v="3"/>
    <s v="GL-381-X"/>
    <s v="Yes"/>
    <n v="5979122169.6400003"/>
    <n v="825337347.69000006"/>
    <n v="159987.52599999998"/>
    <n v="1850"/>
    <n v="4"/>
    <n v="159987.52599999998"/>
    <n v="4"/>
    <n v="13210.318967533216"/>
  </r>
  <r>
    <s v="MAC-CGM-2176"/>
    <s v="Counterparty_176"/>
    <x v="6"/>
    <s v="Listed Equity"/>
    <x v="2"/>
    <n v="193540974.03"/>
    <d v="2033-12-14T00:00:00"/>
    <x v="1"/>
    <s v="GL-560-X"/>
    <s v="No"/>
    <n v="1066088456.3200001"/>
    <n v="124047908.34999999"/>
    <n v="62023.95"/>
    <n v="1850"/>
    <n v="4"/>
    <n v="62023.95"/>
    <n v="2"/>
    <n v="11260.018458153918"/>
  </r>
  <r>
    <s v="MAC-CGM-2177"/>
    <s v="Counterparty_177"/>
    <x v="0"/>
    <s v="Corporate Loan"/>
    <x v="2"/>
    <n v="36438355.649999999"/>
    <d v="2031-12-23T00:00:00"/>
    <x v="2"/>
    <s v="GL-610-X"/>
    <s v="Yes"/>
    <n v="1310001946.23"/>
    <n v="109289348.15000001"/>
    <n v="4461.59"/>
    <n v="25"/>
    <n v="5"/>
    <n v="4461.59"/>
    <n v="5"/>
    <n v="124.10134477459791"/>
  </r>
  <r>
    <s v="MAC-CGM-2178"/>
    <s v="Counterparty_178"/>
    <x v="9"/>
    <s v="Project Finance"/>
    <x v="3"/>
    <n v="140336500.61000001"/>
    <d v="2033-12-10T00:00:00"/>
    <x v="4"/>
    <s v="GL-575-X"/>
    <s v="In Progress"/>
    <n v="4805302982.6599998"/>
    <n v="339960757.44999999"/>
    <n v="3399.61"/>
    <n v="15"/>
    <n v="4"/>
    <n v="3399.61"/>
    <n v="2"/>
    <n v="99.283931223555641"/>
  </r>
  <r>
    <s v="MAC-CGM-2179"/>
    <s v="Counterparty_179"/>
    <x v="4"/>
    <s v="Listed Equity"/>
    <x v="0"/>
    <n v="407385999.51999998"/>
    <d v="2030-08-26T00:00:00"/>
    <x v="4"/>
    <s v="GL-870-X"/>
    <s v="No"/>
    <n v="448124599.47000003"/>
    <n v="455608383.91000003"/>
    <n v="50221.180256410262"/>
    <n v="732"/>
    <n v="4.1760000000000002"/>
    <n v="50221.180256410262"/>
    <n v="3.0759493670886076"/>
    <n v="45655.618415122175"/>
  </r>
  <r>
    <s v="MAC-CGM-2180"/>
    <s v="Counterparty_180"/>
    <x v="8"/>
    <s v="Listed Equity"/>
    <x v="1"/>
    <n v="279938694.26999998"/>
    <d v="2034-06-02T00:00:00"/>
    <x v="3"/>
    <s v="GL-776-X"/>
    <s v="Yes"/>
    <n v="2862663990.6399999"/>
    <n v="807658844.23000002"/>
    <n v="50221.180256410262"/>
    <n v="732"/>
    <n v="4.1760000000000002"/>
    <n v="50221.180256410262"/>
    <n v="3.0759493670886076"/>
    <n v="4911.107860246876"/>
  </r>
  <r>
    <s v="MAC-CGM-2181"/>
    <s v="Counterparty_181"/>
    <x v="5"/>
    <s v="Project Finance"/>
    <x v="0"/>
    <n v="379755195.00999999"/>
    <d v="2026-04-23T00:00:00"/>
    <x v="1"/>
    <s v="GL-184-X"/>
    <s v="In Progress"/>
    <n v="780017839.36000001"/>
    <n v="827582158.49000001"/>
    <n v="50221.180256410262"/>
    <n v="732"/>
    <n v="4.1760000000000002"/>
    <n v="50221.180256410262"/>
    <n v="3.0759493670886076"/>
    <n v="24450.407592669548"/>
  </r>
  <r>
    <s v="MAC-CGM-2182"/>
    <s v="Counterparty_182"/>
    <x v="3"/>
    <s v="Unlisted Equity"/>
    <x v="0"/>
    <n v="228019346.97999999"/>
    <d v="2031-04-16T00:00:00"/>
    <x v="1"/>
    <s v="GL-150-X"/>
    <s v="No"/>
    <n v="2998856939.8899999"/>
    <n v="178742993.53"/>
    <n v="50059.561999999991"/>
    <n v="280"/>
    <n v="4"/>
    <n v="50059.561999999991"/>
    <n v="4"/>
    <n v="3806.2998222794563"/>
  </r>
  <r>
    <s v="MAC-CGM-2183"/>
    <s v="Counterparty_183"/>
    <x v="9"/>
    <s v="Listed Equity"/>
    <x v="0"/>
    <n v="140992239.53"/>
    <d v="2030-02-08T00:00:00"/>
    <x v="1"/>
    <s v="GL-980-X"/>
    <s v="In Progress"/>
    <n v="4145850842.1599998"/>
    <n v="342723368.97000003"/>
    <n v="3427.23"/>
    <n v="15"/>
    <n v="4"/>
    <n v="3427.23"/>
    <n v="2"/>
    <n v="116.55335695402071"/>
  </r>
  <r>
    <s v="MAC-CGM-2184"/>
    <s v="Counterparty_184"/>
    <x v="3"/>
    <s v="Project Finance"/>
    <x v="1"/>
    <n v="379714570.43000001"/>
    <d v="2031-10-13T00:00:00"/>
    <x v="0"/>
    <s v="GL-650-X"/>
    <s v="No"/>
    <n v="11479421671.860001"/>
    <n v="713774955.72000003"/>
    <n v="107066.24000000001"/>
    <n v="280"/>
    <n v="4"/>
    <n v="107066.24000000001"/>
    <n v="2"/>
    <n v="3541.5208615268207"/>
  </r>
  <r>
    <s v="MAC-CGM-2185"/>
    <s v="Counterparty_185"/>
    <x v="5"/>
    <s v="Listed Equity"/>
    <x v="3"/>
    <n v="337428731.81999999"/>
    <d v="2027-12-05T00:00:00"/>
    <x v="4"/>
    <s v="GL-217-X"/>
    <s v="In Progress"/>
    <n v="391099290.17000002"/>
    <n v="509081145.55000001"/>
    <n v="50221.180256410262"/>
    <n v="732"/>
    <n v="4.1760000000000002"/>
    <n v="50221.180256410262"/>
    <n v="3.0759493670886076"/>
    <n v="43329.327335414368"/>
  </r>
  <r>
    <s v="MAC-CGM-2186"/>
    <s v="Counterparty_186"/>
    <x v="3"/>
    <s v="Listed Equity"/>
    <x v="3"/>
    <n v="416528887.57999998"/>
    <d v="2035-05-01T00:00:00"/>
    <x v="1"/>
    <s v="GL-153-X"/>
    <s v="No"/>
    <n v="16366776960.889999"/>
    <n v="994605646.48000002"/>
    <n v="149190.85"/>
    <n v="280"/>
    <n v="4"/>
    <n v="149190.85"/>
    <n v="2"/>
    <n v="3796.8562128090148"/>
  </r>
  <r>
    <s v="MAC-CGM-2187"/>
    <s v="Counterparty_187"/>
    <x v="1"/>
    <s v="Unlisted Equity"/>
    <x v="0"/>
    <n v="484147013.88999999"/>
    <d v="2034-05-26T00:00:00"/>
    <x v="5"/>
    <s v="GL-500-X"/>
    <s v="Yes"/>
    <n v="1452263121.1800001"/>
    <n v="499838414.10000002"/>
    <n v="31523.905999999999"/>
    <n v="850"/>
    <n v="4"/>
    <n v="31523.905999999999"/>
    <n v="4"/>
    <n v="10509.256024933093"/>
  </r>
  <r>
    <s v="MAC-CGM-2188"/>
    <s v="Counterparty_188"/>
    <x v="8"/>
    <s v="Corporate Loan"/>
    <x v="3"/>
    <n v="71337538.079999998"/>
    <d v="2035-04-28T00:00:00"/>
    <x v="7"/>
    <s v="GL-306-X"/>
    <s v="No"/>
    <n v="345867209.25999999"/>
    <n v="98193902.359999999"/>
    <n v="50221.180256410262"/>
    <n v="732"/>
    <n v="4.1760000000000002"/>
    <n v="50221.180256410262"/>
    <n v="3.0759493670886076"/>
    <n v="10358.470716635669"/>
  </r>
  <r>
    <s v="MAC-CGM-2189"/>
    <s v="Counterparty_189"/>
    <x v="2"/>
    <s v="Corporate Loan"/>
    <x v="3"/>
    <n v="393410790.64999998"/>
    <d v="2027-08-31T00:00:00"/>
    <x v="2"/>
    <s v="GL-202-X"/>
    <s v="Yes"/>
    <n v="1238165326.3900001"/>
    <n v="626973782.73000002"/>
    <n v="50221.180256410262"/>
    <n v="732"/>
    <n v="4.1760000000000002"/>
    <n v="50221.180256410262"/>
    <n v="3.0759493670886076"/>
    <n v="15957.121242973048"/>
  </r>
  <r>
    <s v="MAC-CGM-2190"/>
    <s v="Counterparty_190"/>
    <x v="7"/>
    <s v="Unlisted Equity"/>
    <x v="1"/>
    <n v="72503880.420000002"/>
    <d v="2028-03-04T00:00:00"/>
    <x v="8"/>
    <s v="GL-905-X"/>
    <s v="Yes"/>
    <n v="907838752.53999996"/>
    <n v="129417521.36"/>
    <n v="56434.683999999994"/>
    <n v="1200"/>
    <n v="4"/>
    <n v="56434.683999999994"/>
    <n v="4"/>
    <n v="4507.1149131147076"/>
  </r>
  <r>
    <s v="MAC-CGM-2191"/>
    <s v="Counterparty_191"/>
    <x v="6"/>
    <s v="Corporate Loan"/>
    <x v="0"/>
    <n v="306003485.51999998"/>
    <d v="2033-11-15T00:00:00"/>
    <x v="2"/>
    <s v="GL-546-X"/>
    <s v="Yes"/>
    <n v="5400451571.1400003"/>
    <n v="628903489.16999996"/>
    <n v="314451.74"/>
    <n v="1850"/>
    <n v="4"/>
    <n v="314451.74"/>
    <n v="2"/>
    <n v="17817.644913630189"/>
  </r>
  <r>
    <s v="MAC-CGM-2192"/>
    <s v="Counterparty_192"/>
    <x v="6"/>
    <s v="Listed Equity"/>
    <x v="1"/>
    <n v="364566531.16000003"/>
    <d v="2026-10-06T00:00:00"/>
    <x v="4"/>
    <s v="GL-580-X"/>
    <s v="In Progress"/>
    <n v="2777288672.02"/>
    <n v="316328437.5"/>
    <n v="159987.52599999998"/>
    <n v="1850"/>
    <n v="4"/>
    <n v="159987.52599999998"/>
    <n v="4"/>
    <n v="21001.09288973123"/>
  </r>
  <r>
    <s v="MAC-CGM-2193"/>
    <s v="Counterparty_193"/>
    <x v="0"/>
    <s v="Corporate Loan"/>
    <x v="0"/>
    <n v="392908241.31"/>
    <d v="2028-11-15T00:00:00"/>
    <x v="7"/>
    <s v="GL-205-X"/>
    <s v="No"/>
    <n v="4427624665.1599998"/>
    <n v="450119991.74000001"/>
    <n v="9002.4"/>
    <n v="25"/>
    <n v="5"/>
    <n v="9002.4"/>
    <n v="2"/>
    <n v="798.87466058311975"/>
  </r>
  <r>
    <s v="MAC-CGM-2194"/>
    <s v="Counterparty_194"/>
    <x v="9"/>
    <s v="Corporate Loan"/>
    <x v="1"/>
    <n v="431870035.82999998"/>
    <d v="2032-01-20T00:00:00"/>
    <x v="9"/>
    <s v="GL-237-X"/>
    <s v="In Progress"/>
    <n v="8358942154.9300003"/>
    <n v="747802502.66999996"/>
    <n v="7478.03"/>
    <n v="15"/>
    <n v="4"/>
    <n v="7478.03"/>
    <n v="2"/>
    <n v="386.35715191940574"/>
  </r>
  <r>
    <s v="MAC-CGM-2195"/>
    <s v="Counterparty_195"/>
    <x v="6"/>
    <s v="Unlisted Equity"/>
    <x v="1"/>
    <n v="463660874.44999999"/>
    <d v="2029-10-15T00:00:00"/>
    <x v="1"/>
    <s v="GL-607-X"/>
    <s v="Yes"/>
    <n v="3177289981.48"/>
    <n v="510195756.22000003"/>
    <n v="159987.52599999998"/>
    <n v="1850"/>
    <n v="4"/>
    <n v="159987.52599999998"/>
    <n v="4"/>
    <n v="23346.926669783741"/>
  </r>
  <r>
    <s v="MAC-CGM-2196"/>
    <s v="Counterparty_196"/>
    <x v="0"/>
    <s v="Unlisted Equity"/>
    <x v="1"/>
    <n v="37786809.039999999"/>
    <d v="2026-04-09T00:00:00"/>
    <x v="8"/>
    <s v="GL-873-X"/>
    <s v="Yes"/>
    <n v="266745671.86000001"/>
    <n v="30989513.68"/>
    <n v="4461.59"/>
    <n v="25"/>
    <n v="5"/>
    <n v="4461.59"/>
    <n v="5"/>
    <n v="632.02243608757317"/>
  </r>
  <r>
    <s v="MAC-CGM-2197"/>
    <s v="Counterparty_197"/>
    <x v="7"/>
    <s v="Unlisted Equity"/>
    <x v="2"/>
    <n v="248845956.53"/>
    <d v="2026-08-23T00:00:00"/>
    <x v="2"/>
    <s v="GL-210-X"/>
    <s v="No"/>
    <n v="2876294328.0500002"/>
    <n v="523120700.48000002"/>
    <n v="56434.683999999994"/>
    <n v="1200"/>
    <n v="4"/>
    <n v="56434.683999999994"/>
    <n v="4"/>
    <n v="4882.5124690800276"/>
  </r>
  <r>
    <s v="MAC-CGM-2198"/>
    <s v="Counterparty_198"/>
    <x v="0"/>
    <s v="Unlisted Equity"/>
    <x v="0"/>
    <n v="68795462.349999994"/>
    <d v="2034-12-29T00:00:00"/>
    <x v="4"/>
    <s v="GL-619-X"/>
    <s v="No"/>
    <n v="1866704642.9100001"/>
    <n v="188635164.40000001"/>
    <n v="3772.7"/>
    <n v="25"/>
    <n v="5"/>
    <n v="3772.7"/>
    <n v="2"/>
    <n v="139.03894319523502"/>
  </r>
  <r>
    <s v="MAC-CGM-2199"/>
    <s v="Counterparty_199"/>
    <x v="2"/>
    <s v="Corporate Loan"/>
    <x v="2"/>
    <n v="94133299.810000002"/>
    <d v="2034-02-25T00:00:00"/>
    <x v="0"/>
    <s v="GL-380-X"/>
    <s v="In Progress"/>
    <n v="130618962.11"/>
    <n v="87619245.150000006"/>
    <n v="50221.180256410262"/>
    <n v="732"/>
    <n v="4.1760000000000002"/>
    <n v="50221.180256410262"/>
    <n v="3.0759493670886076"/>
    <n v="36192.948876040646"/>
  </r>
  <r>
    <m/>
    <m/>
    <x v="10"/>
    <m/>
    <x v="4"/>
    <m/>
    <m/>
    <x v="1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0B723-F268-476C-BB66-767F93DB66A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L23" firstHeaderRow="1" firstDataRow="2" firstDataCol="1"/>
  <pivotFields count="18"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axis="axisCol" showAll="0">
      <items count="12">
        <item x="1"/>
        <item x="8"/>
        <item x="2"/>
        <item x="9"/>
        <item x="3"/>
        <item x="4"/>
        <item x="7"/>
        <item x="0"/>
        <item x="5"/>
        <item x="6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Financed_Emissions_tCO2e" fld="17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94ACA-C8F8-4F7F-BF1B-4CB9DB3D1D7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ectors">
  <location ref="A3:B14" firstHeaderRow="1" firstDataRow="1" firstDataCol="1"/>
  <pivotFields count="18">
    <pivotField showAll="0"/>
    <pivotField showAll="0"/>
    <pivotField axis="axisRow" multipleItemSelectionAllowed="1" showAll="0" sortType="ascending">
      <items count="12">
        <item x="2"/>
        <item x="1"/>
        <item x="3"/>
        <item x="7"/>
        <item x="6"/>
        <item x="9"/>
        <item x="8"/>
        <item x="5"/>
        <item x="0"/>
        <item x="4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5"/>
    </i>
    <i>
      <x v="8"/>
    </i>
    <i>
      <x v="2"/>
    </i>
    <i>
      <x v="3"/>
    </i>
    <i>
      <x v="1"/>
    </i>
    <i>
      <x v="6"/>
    </i>
    <i>
      <x/>
    </i>
    <i>
      <x v="4"/>
    </i>
    <i>
      <x v="7"/>
    </i>
    <i>
      <x v="9"/>
    </i>
    <i t="grand">
      <x/>
    </i>
  </rowItems>
  <colItems count="1">
    <i/>
  </colItems>
  <dataFields count="1">
    <dataField name="Sum of Financed_Emissions_tCO2e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402765-E769-4A15-A653-28F932F90724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Client_ID" tableColumnId="1"/>
      <queryTableField id="2" name="Client_Name" tableColumnId="2"/>
      <queryTableField id="3" name="Sector" tableColumnId="3"/>
      <queryTableField id="4" name="Asset_Class" tableColumnId="4"/>
      <queryTableField id="5" name="Region" tableColumnId="5"/>
      <queryTableField id="6" name="Outstanding_Balance_AUD" tableColumnId="6"/>
      <queryTableField id="7" name="Maturity_Date" tableColumnId="7"/>
      <queryTableField id="8" name="Internal_Risk_Rating" tableColumnId="8"/>
      <queryTableField id="9" name="Capital_Account_Code" tableColumnId="9"/>
      <queryTableField id="10" name="Is_SBTi_Aligned" tableColumnId="10"/>
      <queryTableField id="11" name="EVIC_AUD" tableColumnId="11"/>
      <queryTableField id="12" name="Total_Revenue_AUD" tableColumnId="12"/>
      <queryTableField id="13" name="Reported_Scope_1_2_tCO2e" tableColumnId="13"/>
      <queryTableField id="14" name="Intensity Factor (tCO2e per $1M Revenue)" tableColumnId="14"/>
      <queryTableField id="15" name="PCAF Score" tableColumnId="15"/>
      <queryTableField id="16" name="Estimated_Scope_1_2_Total" tableColumnId="16"/>
      <queryTableField id="17" name="Final_Data_Quality_Score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EC60-0530-45A3-A6B6-0B4B0673E0DE}" name="Master_Ledger_Data" displayName="Master_Ledger_Data" ref="A1:R201" tableType="queryTable" totalsRowShown="0">
  <autoFilter ref="A1:R201" xr:uid="{FBFCEC60-0530-45A3-A6B6-0B4B0673E0DE}"/>
  <tableColumns count="18">
    <tableColumn id="1" xr3:uid="{15F42E63-9B47-44B4-932B-6389EEBF01E4}" uniqueName="1" name="Client_ID" queryTableFieldId="1" dataDxfId="8"/>
    <tableColumn id="2" xr3:uid="{9EAD35AA-5A00-43F1-8EC6-57FD2E7FFDB7}" uniqueName="2" name="Client_Name" queryTableFieldId="2" dataDxfId="7"/>
    <tableColumn id="3" xr3:uid="{82A06A44-4EBB-444B-A1BC-9891B830A7AE}" uniqueName="3" name="Sector" queryTableFieldId="3" dataDxfId="6"/>
    <tableColumn id="4" xr3:uid="{256529CD-565D-4B86-8498-F34C3E4B3F56}" uniqueName="4" name="Asset_Class" queryTableFieldId="4" dataDxfId="5"/>
    <tableColumn id="5" xr3:uid="{C25409EF-47E9-41F7-95AA-EA76DFAB9195}" uniqueName="5" name="Region" queryTableFieldId="5" dataDxfId="4"/>
    <tableColumn id="6" xr3:uid="{21D76EF5-BDE4-4BCB-A3F5-4FF0DCDA9791}" uniqueName="6" name="Outstanding_Balance_AUD" queryTableFieldId="6"/>
    <tableColumn id="7" xr3:uid="{F84FDCAC-8C2E-493F-9513-FE22A81B42DE}" uniqueName="7" name="Maturity_Date" queryTableFieldId="7" dataDxfId="3"/>
    <tableColumn id="8" xr3:uid="{B6E20436-CAC2-42D6-A86D-BDF17328218C}" uniqueName="8" name="Internal_Risk_Rating" queryTableFieldId="8"/>
    <tableColumn id="9" xr3:uid="{CE9BE43D-024B-41AC-ACDF-9137E5CFD4C5}" uniqueName="9" name="Capital_Account_Code" queryTableFieldId="9" dataDxfId="2"/>
    <tableColumn id="10" xr3:uid="{D6A958BA-0260-485C-9AE8-10E2E0F30862}" uniqueName="10" name="Is_SBTi_Aligned" queryTableFieldId="10" dataDxfId="1"/>
    <tableColumn id="11" xr3:uid="{79675D38-5F35-4DEA-8EE4-E16D28C5F82A}" uniqueName="11" name="EVIC_AUD" queryTableFieldId="11"/>
    <tableColumn id="12" xr3:uid="{91E6DFAA-78BA-4F99-BCE8-47F223C3EBB9}" uniqueName="12" name="Total_Revenue_AUD" queryTableFieldId="12"/>
    <tableColumn id="13" xr3:uid="{E9FC9F5E-E72C-4500-9A23-0FBA1AE405E5}" uniqueName="13" name="Reported_Scope_1_2_tCO2e" queryTableFieldId="13"/>
    <tableColumn id="14" xr3:uid="{1F67D44F-AA05-458C-AEC3-2C9A72EBB53E}" uniqueName="14" name="Intensity Factor (tCO2e per $1M Revenue)" queryTableFieldId="14"/>
    <tableColumn id="15" xr3:uid="{07B522A2-8130-4B27-B808-7AA34462CB64}" uniqueName="15" name="PCAF Score" queryTableFieldId="15"/>
    <tableColumn id="16" xr3:uid="{DF9FA226-03EF-45AA-B61F-F9C84AF0DF0A}" uniqueName="16" name="Estimated_Scope_1_2_Total" queryTableFieldId="16"/>
    <tableColumn id="17" xr3:uid="{D17FCB6E-3044-46E5-AF4C-C4AC1286E28E}" uniqueName="17" name="Final_Data_Quality_Score" queryTableFieldId="17"/>
    <tableColumn id="18" xr3:uid="{F82C1073-C10A-494D-9ADA-FD9791E083EC}" uniqueName="18" name="Financed_Emissions_tCO2e" queryTableFieldId="18" dataDxfId="0">
      <calculatedColumnFormula xml:space="preserve"> (Master_Ledger_Data[[#This Row],[Outstanding_Balance_AUD]]/Master_Ledger_Data[[#This Row],[EVIC_AUD]]) *Master_Ledger_Data[[#This Row],[Estimated_Scope_1_2_Total]]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9D85-4CE0-443F-9A1D-181DA04191F1}">
  <dimension ref="A2:L23"/>
  <sheetViews>
    <sheetView workbookViewId="0">
      <selection activeCell="A3" sqref="A3"/>
    </sheetView>
  </sheetViews>
  <sheetFormatPr defaultRowHeight="14.4" x14ac:dyDescent="0.3"/>
  <cols>
    <col min="1" max="2" width="30.77734375" bestFit="1" customWidth="1"/>
    <col min="3" max="12" width="12" bestFit="1" customWidth="1"/>
    <col min="13" max="13" width="10.77734375" bestFit="1" customWidth="1"/>
  </cols>
  <sheetData>
    <row r="2" spans="1:2" x14ac:dyDescent="0.3">
      <c r="A2" s="5" t="s">
        <v>419</v>
      </c>
    </row>
    <row r="3" spans="1:2" x14ac:dyDescent="0.3">
      <c r="A3" s="3" t="s">
        <v>420</v>
      </c>
      <c r="B3" t="s">
        <v>417</v>
      </c>
    </row>
    <row r="4" spans="1:2" x14ac:dyDescent="0.3">
      <c r="A4" s="4" t="s">
        <v>80</v>
      </c>
      <c r="B4" s="1">
        <v>5414.357663499859</v>
      </c>
    </row>
    <row r="5" spans="1:2" x14ac:dyDescent="0.3">
      <c r="A5" s="4" t="s">
        <v>18</v>
      </c>
      <c r="B5" s="1">
        <v>8464.9090406752875</v>
      </c>
    </row>
    <row r="6" spans="1:2" x14ac:dyDescent="0.3">
      <c r="A6" s="4" t="s">
        <v>36</v>
      </c>
      <c r="B6" s="1">
        <v>48808.145184006295</v>
      </c>
    </row>
    <row r="7" spans="1:2" x14ac:dyDescent="0.3">
      <c r="A7" s="4" t="s">
        <v>66</v>
      </c>
      <c r="B7" s="1">
        <v>69076.075502143212</v>
      </c>
    </row>
    <row r="8" spans="1:2" x14ac:dyDescent="0.3">
      <c r="A8" s="4" t="s">
        <v>27</v>
      </c>
      <c r="B8" s="1">
        <v>129720.87016819615</v>
      </c>
    </row>
    <row r="9" spans="1:2" x14ac:dyDescent="0.3">
      <c r="A9" s="4" t="s">
        <v>69</v>
      </c>
      <c r="B9" s="1">
        <v>163424.65006185195</v>
      </c>
    </row>
    <row r="10" spans="1:2" x14ac:dyDescent="0.3">
      <c r="A10" s="4" t="s">
        <v>33</v>
      </c>
      <c r="B10" s="1">
        <v>435416.28527696052</v>
      </c>
    </row>
    <row r="11" spans="1:2" x14ac:dyDescent="0.3">
      <c r="A11" s="4" t="s">
        <v>48</v>
      </c>
      <c r="B11" s="1">
        <v>493649.93502822495</v>
      </c>
    </row>
    <row r="12" spans="1:2" x14ac:dyDescent="0.3">
      <c r="A12" s="4" t="s">
        <v>45</v>
      </c>
      <c r="B12" s="1">
        <v>679101.40907366259</v>
      </c>
    </row>
    <row r="13" spans="1:2" x14ac:dyDescent="0.3">
      <c r="A13" s="4" t="s">
        <v>41</v>
      </c>
      <c r="B13" s="1">
        <v>785383.94052059215</v>
      </c>
    </row>
    <row r="14" spans="1:2" x14ac:dyDescent="0.3">
      <c r="A14" s="4" t="s">
        <v>416</v>
      </c>
      <c r="B14" s="1">
        <v>2818460.5775198131</v>
      </c>
    </row>
    <row r="16" spans="1:2" x14ac:dyDescent="0.3">
      <c r="A16" s="5" t="s">
        <v>421</v>
      </c>
    </row>
    <row r="17" spans="1:12" x14ac:dyDescent="0.3">
      <c r="A17" s="3" t="s">
        <v>417</v>
      </c>
      <c r="B17" s="3" t="s">
        <v>418</v>
      </c>
    </row>
    <row r="18" spans="1:12" x14ac:dyDescent="0.3">
      <c r="A18" s="3" t="s">
        <v>415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 t="s">
        <v>416</v>
      </c>
    </row>
    <row r="19" spans="1:12" x14ac:dyDescent="0.3">
      <c r="A19" s="4" t="s">
        <v>29</v>
      </c>
      <c r="B19" s="1">
        <v>192994.67667761861</v>
      </c>
      <c r="C19" s="1">
        <v>98602.618287539517</v>
      </c>
      <c r="D19" s="1">
        <v>64478.593450839384</v>
      </c>
      <c r="E19" s="1">
        <v>51866.691620409823</v>
      </c>
      <c r="F19" s="1">
        <v>176293.46283570727</v>
      </c>
      <c r="G19" s="1">
        <v>57508.249327382669</v>
      </c>
      <c r="H19" s="1">
        <v>69813.297340920544</v>
      </c>
      <c r="I19" s="1">
        <v>60593.408623734285</v>
      </c>
      <c r="J19" s="1">
        <v>78104.093499350172</v>
      </c>
      <c r="K19" s="1">
        <v>31890.214196288754</v>
      </c>
      <c r="L19" s="1">
        <v>882145.30585979088</v>
      </c>
    </row>
    <row r="20" spans="1:12" x14ac:dyDescent="0.3">
      <c r="A20" s="4" t="s">
        <v>42</v>
      </c>
      <c r="B20" s="1">
        <v>13504.469917857281</v>
      </c>
      <c r="C20" s="1">
        <v>72332.263939994882</v>
      </c>
      <c r="D20" s="1">
        <v>144248.82087665575</v>
      </c>
      <c r="E20" s="1">
        <v>80773.162362478703</v>
      </c>
      <c r="F20" s="1">
        <v>47655.859639327973</v>
      </c>
      <c r="G20" s="1">
        <v>103906.02195401004</v>
      </c>
      <c r="H20" s="1">
        <v>46529.135181714897</v>
      </c>
      <c r="I20" s="1">
        <v>45839.934282554088</v>
      </c>
      <c r="J20" s="1">
        <v>151506.67882917228</v>
      </c>
      <c r="K20" s="1">
        <v>41597.493029941179</v>
      </c>
      <c r="L20" s="1">
        <v>747893.84001370706</v>
      </c>
    </row>
    <row r="21" spans="1:12" x14ac:dyDescent="0.3">
      <c r="A21" s="4" t="s">
        <v>20</v>
      </c>
      <c r="B21" s="1">
        <v>83049.375919847036</v>
      </c>
      <c r="C21" s="1">
        <v>30270.394940680057</v>
      </c>
      <c r="D21" s="1">
        <v>80932.228620483947</v>
      </c>
      <c r="E21" s="1">
        <v>88008.364532637468</v>
      </c>
      <c r="F21" s="1">
        <v>36211.090351232233</v>
      </c>
      <c r="G21" s="1">
        <v>50559.777020609021</v>
      </c>
      <c r="H21" s="1">
        <v>11215.043347317966</v>
      </c>
      <c r="I21" s="1">
        <v>19664.83779178845</v>
      </c>
      <c r="J21" s="1">
        <v>10839.399714116753</v>
      </c>
      <c r="K21" s="1">
        <v>11572.887444933058</v>
      </c>
      <c r="L21" s="1">
        <v>422323.39968364593</v>
      </c>
    </row>
    <row r="22" spans="1:12" x14ac:dyDescent="0.3">
      <c r="A22" s="4" t="s">
        <v>37</v>
      </c>
      <c r="B22" s="1">
        <v>82085.442743264124</v>
      </c>
      <c r="C22" s="1"/>
      <c r="D22" s="1">
        <v>91150.693654791801</v>
      </c>
      <c r="E22" s="1"/>
      <c r="F22" s="1">
        <v>142794.83044227576</v>
      </c>
      <c r="G22" s="1">
        <v>50275.116984475273</v>
      </c>
      <c r="H22" s="1">
        <v>29732.644969656954</v>
      </c>
      <c r="I22" s="1">
        <v>112571.47939578202</v>
      </c>
      <c r="J22" s="1">
        <v>240027.97559170437</v>
      </c>
      <c r="K22" s="1">
        <v>17459.848180718414</v>
      </c>
      <c r="L22" s="1">
        <v>766098.03196266864</v>
      </c>
    </row>
    <row r="23" spans="1:12" x14ac:dyDescent="0.3">
      <c r="A23" s="4" t="s">
        <v>416</v>
      </c>
      <c r="B23" s="1">
        <v>371633.96525858709</v>
      </c>
      <c r="C23" s="1">
        <v>201205.27716821447</v>
      </c>
      <c r="D23" s="1">
        <v>380810.3366027709</v>
      </c>
      <c r="E23" s="1">
        <v>220648.21851552598</v>
      </c>
      <c r="F23" s="1">
        <v>402955.24326854327</v>
      </c>
      <c r="G23" s="1">
        <v>262249.16528647701</v>
      </c>
      <c r="H23" s="1">
        <v>157290.12083961035</v>
      </c>
      <c r="I23" s="1">
        <v>238669.66009385884</v>
      </c>
      <c r="J23" s="1">
        <v>480478.14763434359</v>
      </c>
      <c r="K23" s="1">
        <v>102520.44285188141</v>
      </c>
      <c r="L23" s="1">
        <v>2818460.5775198126</v>
      </c>
    </row>
  </sheetData>
  <conditionalFormatting pivot="1" sqref="B19:L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1C6A-DDED-49CF-BC06-74E8088CB5CE}">
  <dimension ref="A1:R201"/>
  <sheetViews>
    <sheetView tabSelected="1" workbookViewId="0">
      <selection activeCell="B2" sqref="B2:B201"/>
    </sheetView>
  </sheetViews>
  <sheetFormatPr defaultRowHeight="14.4" x14ac:dyDescent="0.3"/>
  <cols>
    <col min="1" max="1" width="14.33203125" bestFit="1" customWidth="1"/>
    <col min="2" max="2" width="28.6640625" bestFit="1" customWidth="1"/>
    <col min="3" max="3" width="21.77734375" bestFit="1" customWidth="1"/>
    <col min="4" max="4" width="13.88671875" bestFit="1" customWidth="1"/>
    <col min="5" max="5" width="10.33203125" bestFit="1" customWidth="1"/>
    <col min="6" max="6" width="26.21875" bestFit="1" customWidth="1"/>
    <col min="7" max="7" width="15.5546875" bestFit="1" customWidth="1"/>
    <col min="8" max="8" width="20.6640625" bestFit="1" customWidth="1"/>
    <col min="9" max="9" width="22.5546875" bestFit="1" customWidth="1"/>
    <col min="10" max="10" width="16.5546875" bestFit="1" customWidth="1"/>
    <col min="11" max="11" width="12" bestFit="1" customWidth="1"/>
    <col min="12" max="12" width="20.77734375" bestFit="1" customWidth="1"/>
    <col min="13" max="13" width="27.6640625" bestFit="1" customWidth="1"/>
    <col min="14" max="14" width="39" bestFit="1" customWidth="1"/>
    <col min="15" max="15" width="12.6640625" bestFit="1" customWidth="1"/>
    <col min="16" max="16" width="27.21875" bestFit="1" customWidth="1"/>
    <col min="17" max="17" width="25" bestFit="1" customWidth="1"/>
    <col min="18" max="18" width="26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414</v>
      </c>
    </row>
    <row r="2" spans="1:18" x14ac:dyDescent="0.3">
      <c r="A2" s="1" t="s">
        <v>17</v>
      </c>
      <c r="B2" t="s">
        <v>422</v>
      </c>
      <c r="C2" s="1" t="s">
        <v>18</v>
      </c>
      <c r="D2" s="1" t="s">
        <v>19</v>
      </c>
      <c r="E2" s="1" t="s">
        <v>20</v>
      </c>
      <c r="F2">
        <v>190397358.83000001</v>
      </c>
      <c r="G2" s="2">
        <v>46913</v>
      </c>
      <c r="H2">
        <v>8</v>
      </c>
      <c r="I2" s="1" t="s">
        <v>21</v>
      </c>
      <c r="J2" s="1" t="s">
        <v>22</v>
      </c>
      <c r="K2">
        <v>3227813560.8899999</v>
      </c>
      <c r="L2">
        <v>273477302.93000001</v>
      </c>
      <c r="M2">
        <v>5469.55</v>
      </c>
      <c r="N2">
        <v>25</v>
      </c>
      <c r="O2">
        <v>5</v>
      </c>
      <c r="P2">
        <v>5469.55</v>
      </c>
      <c r="Q2">
        <v>2</v>
      </c>
      <c r="R2">
        <f xml:space="preserve"> (Master_Ledger_Data[[#This Row],[Outstanding_Balance_AUD]]/Master_Ledger_Data[[#This Row],[EVIC_AUD]]) *Master_Ledger_Data[[#This Row],[Estimated_Scope_1_2_Total]]</f>
        <v>322.62949961133643</v>
      </c>
    </row>
    <row r="3" spans="1:18" x14ac:dyDescent="0.3">
      <c r="A3" s="1" t="s">
        <v>23</v>
      </c>
      <c r="B3" t="s">
        <v>423</v>
      </c>
      <c r="C3" s="1" t="s">
        <v>18</v>
      </c>
      <c r="D3" s="1" t="s">
        <v>24</v>
      </c>
      <c r="E3" s="1" t="s">
        <v>20</v>
      </c>
      <c r="F3">
        <v>95003358.769999996</v>
      </c>
      <c r="G3" s="2">
        <v>48377</v>
      </c>
      <c r="H3">
        <v>1</v>
      </c>
      <c r="I3" s="1" t="s">
        <v>25</v>
      </c>
      <c r="J3" s="1" t="s">
        <v>22</v>
      </c>
      <c r="K3">
        <v>839313697.63999999</v>
      </c>
      <c r="L3">
        <v>91061790.510000005</v>
      </c>
      <c r="M3">
        <v>4461.59</v>
      </c>
      <c r="N3">
        <v>25</v>
      </c>
      <c r="O3">
        <v>5</v>
      </c>
      <c r="P3">
        <v>4461.59</v>
      </c>
      <c r="Q3">
        <v>5</v>
      </c>
      <c r="R3">
        <f xml:space="preserve"> (Master_Ledger_Data[[#This Row],[Outstanding_Balance_AUD]]/Master_Ledger_Data[[#This Row],[EVIC_AUD]]) *Master_Ledger_Data[[#This Row],[Estimated_Scope_1_2_Total]]</f>
        <v>505.01503388599491</v>
      </c>
    </row>
    <row r="4" spans="1:18" x14ac:dyDescent="0.3">
      <c r="A4" s="1" t="s">
        <v>26</v>
      </c>
      <c r="B4" t="s">
        <v>424</v>
      </c>
      <c r="C4" s="1" t="s">
        <v>27</v>
      </c>
      <c r="D4" s="1" t="s">
        <v>28</v>
      </c>
      <c r="E4" s="1" t="s">
        <v>29</v>
      </c>
      <c r="F4">
        <v>300440828.18000001</v>
      </c>
      <c r="G4" s="2">
        <v>48222</v>
      </c>
      <c r="H4">
        <v>3</v>
      </c>
      <c r="I4" s="1" t="s">
        <v>30</v>
      </c>
      <c r="J4" s="1" t="s">
        <v>31</v>
      </c>
      <c r="K4">
        <v>1758941875.6500001</v>
      </c>
      <c r="L4">
        <v>599874041.05999994</v>
      </c>
      <c r="M4">
        <v>31523.905999999999</v>
      </c>
      <c r="N4">
        <v>850</v>
      </c>
      <c r="O4">
        <v>4</v>
      </c>
      <c r="P4">
        <v>31523.905999999999</v>
      </c>
      <c r="Q4">
        <v>4</v>
      </c>
      <c r="R4">
        <f xml:space="preserve"> (Master_Ledger_Data[[#This Row],[Outstanding_Balance_AUD]]/Master_Ledger_Data[[#This Row],[EVIC_AUD]]) *Master_Ledger_Data[[#This Row],[Estimated_Scope_1_2_Total]]</f>
        <v>5384.5260933415029</v>
      </c>
    </row>
    <row r="5" spans="1:18" x14ac:dyDescent="0.3">
      <c r="A5" s="1" t="s">
        <v>32</v>
      </c>
      <c r="B5" t="s">
        <v>425</v>
      </c>
      <c r="C5" s="1" t="s">
        <v>33</v>
      </c>
      <c r="D5" s="1" t="s">
        <v>28</v>
      </c>
      <c r="E5" s="1" t="s">
        <v>29</v>
      </c>
      <c r="F5">
        <v>33751388.020000003</v>
      </c>
      <c r="G5" s="2">
        <v>48188</v>
      </c>
      <c r="H5">
        <v>5</v>
      </c>
      <c r="I5" s="1" t="s">
        <v>34</v>
      </c>
      <c r="J5" s="1" t="s">
        <v>31</v>
      </c>
      <c r="K5">
        <v>42442784.149999999</v>
      </c>
      <c r="L5">
        <v>21776700.34</v>
      </c>
      <c r="M5">
        <v>3266.51</v>
      </c>
      <c r="N5">
        <v>1136</v>
      </c>
      <c r="O5">
        <v>4</v>
      </c>
      <c r="P5">
        <v>3266.51</v>
      </c>
      <c r="Q5">
        <v>2</v>
      </c>
      <c r="R5">
        <f xml:space="preserve"> (Master_Ledger_Data[[#This Row],[Outstanding_Balance_AUD]]/Master_Ledger_Data[[#This Row],[EVIC_AUD]]) *Master_Ledger_Data[[#This Row],[Estimated_Scope_1_2_Total]]</f>
        <v>2597.5969458452746</v>
      </c>
    </row>
    <row r="6" spans="1:18" x14ac:dyDescent="0.3">
      <c r="A6" s="1" t="s">
        <v>35</v>
      </c>
      <c r="B6" t="s">
        <v>426</v>
      </c>
      <c r="C6" s="1" t="s">
        <v>36</v>
      </c>
      <c r="D6" s="1" t="s">
        <v>24</v>
      </c>
      <c r="E6" s="1" t="s">
        <v>37</v>
      </c>
      <c r="F6">
        <v>485105376.81999999</v>
      </c>
      <c r="G6" s="2">
        <v>47568</v>
      </c>
      <c r="H6">
        <v>6</v>
      </c>
      <c r="I6" s="1" t="s">
        <v>38</v>
      </c>
      <c r="J6" s="1" t="s">
        <v>39</v>
      </c>
      <c r="K6">
        <v>17396159092.23</v>
      </c>
      <c r="L6">
        <v>1252108690.78</v>
      </c>
      <c r="M6">
        <v>50059.561999999991</v>
      </c>
      <c r="N6">
        <v>280</v>
      </c>
      <c r="O6">
        <v>4</v>
      </c>
      <c r="P6">
        <v>50059.561999999991</v>
      </c>
      <c r="Q6">
        <v>4</v>
      </c>
      <c r="R6">
        <f xml:space="preserve"> (Master_Ledger_Data[[#This Row],[Outstanding_Balance_AUD]]/Master_Ledger_Data[[#This Row],[EVIC_AUD]]) *Master_Ledger_Data[[#This Row],[Estimated_Scope_1_2_Total]]</f>
        <v>1395.9496782425194</v>
      </c>
    </row>
    <row r="7" spans="1:18" x14ac:dyDescent="0.3">
      <c r="A7" s="1" t="s">
        <v>40</v>
      </c>
      <c r="B7" t="s">
        <v>427</v>
      </c>
      <c r="C7" s="1" t="s">
        <v>41</v>
      </c>
      <c r="D7" s="1" t="s">
        <v>19</v>
      </c>
      <c r="E7" s="1" t="s">
        <v>42</v>
      </c>
      <c r="F7">
        <v>75719074.870000005</v>
      </c>
      <c r="G7" s="2">
        <v>46183</v>
      </c>
      <c r="H7">
        <v>6</v>
      </c>
      <c r="I7" s="1" t="s">
        <v>43</v>
      </c>
      <c r="J7" s="1" t="s">
        <v>22</v>
      </c>
      <c r="K7">
        <v>83359312.930000007</v>
      </c>
      <c r="L7">
        <v>171896038.75999999</v>
      </c>
      <c r="M7">
        <v>25784.41</v>
      </c>
      <c r="N7">
        <v>1136</v>
      </c>
      <c r="O7">
        <v>4</v>
      </c>
      <c r="P7">
        <v>25784.41</v>
      </c>
      <c r="Q7">
        <v>2</v>
      </c>
      <c r="R7">
        <f xml:space="preserve"> (Master_Ledger_Data[[#This Row],[Outstanding_Balance_AUD]]/Master_Ledger_Data[[#This Row],[EVIC_AUD]]) *Master_Ledger_Data[[#This Row],[Estimated_Scope_1_2_Total]]</f>
        <v>23421.158388244607</v>
      </c>
    </row>
    <row r="8" spans="1:18" x14ac:dyDescent="0.3">
      <c r="A8" s="1" t="s">
        <v>44</v>
      </c>
      <c r="B8" t="s">
        <v>428</v>
      </c>
      <c r="C8" s="1" t="s">
        <v>45</v>
      </c>
      <c r="D8" s="1" t="s">
        <v>19</v>
      </c>
      <c r="E8" s="1" t="s">
        <v>42</v>
      </c>
      <c r="F8">
        <v>307768314.44</v>
      </c>
      <c r="G8" s="2">
        <v>48353</v>
      </c>
      <c r="H8">
        <v>9</v>
      </c>
      <c r="I8" s="1" t="s">
        <v>46</v>
      </c>
      <c r="J8" s="1" t="s">
        <v>31</v>
      </c>
      <c r="K8">
        <v>401064511.12</v>
      </c>
      <c r="L8">
        <v>486231633.01999998</v>
      </c>
      <c r="M8">
        <v>72934.740000000005</v>
      </c>
      <c r="N8">
        <v>1136</v>
      </c>
      <c r="O8">
        <v>4</v>
      </c>
      <c r="P8">
        <v>72934.740000000005</v>
      </c>
      <c r="Q8">
        <v>2</v>
      </c>
      <c r="R8">
        <f xml:space="preserve"> (Master_Ledger_Data[[#This Row],[Outstanding_Balance_AUD]]/Master_Ledger_Data[[#This Row],[EVIC_AUD]]) *Master_Ledger_Data[[#This Row],[Estimated_Scope_1_2_Total]]</f>
        <v>55968.557106274158</v>
      </c>
    </row>
    <row r="9" spans="1:18" x14ac:dyDescent="0.3">
      <c r="A9" s="1" t="s">
        <v>47</v>
      </c>
      <c r="B9" t="s">
        <v>429</v>
      </c>
      <c r="C9" s="1" t="s">
        <v>48</v>
      </c>
      <c r="D9" s="1" t="s">
        <v>49</v>
      </c>
      <c r="E9" s="1" t="s">
        <v>29</v>
      </c>
      <c r="F9">
        <v>264763456.83000001</v>
      </c>
      <c r="G9" s="2">
        <v>48611</v>
      </c>
      <c r="H9">
        <v>10</v>
      </c>
      <c r="I9" s="1" t="s">
        <v>50</v>
      </c>
      <c r="J9" s="1" t="s">
        <v>31</v>
      </c>
      <c r="K9">
        <v>1545230429.5799999</v>
      </c>
      <c r="L9">
        <v>224713920.30000001</v>
      </c>
      <c r="M9">
        <v>159987.52599999998</v>
      </c>
      <c r="N9">
        <v>1850</v>
      </c>
      <c r="O9">
        <v>4</v>
      </c>
      <c r="P9">
        <v>159987.52599999998</v>
      </c>
      <c r="Q9">
        <v>4</v>
      </c>
      <c r="R9">
        <f xml:space="preserve"> (Master_Ledger_Data[[#This Row],[Outstanding_Balance_AUD]]/Master_Ledger_Data[[#This Row],[EVIC_AUD]]) *Master_Ledger_Data[[#This Row],[Estimated_Scope_1_2_Total]]</f>
        <v>27412.643203611264</v>
      </c>
    </row>
    <row r="10" spans="1:18" x14ac:dyDescent="0.3">
      <c r="A10" s="1" t="s">
        <v>51</v>
      </c>
      <c r="B10" t="s">
        <v>430</v>
      </c>
      <c r="C10" s="1" t="s">
        <v>48</v>
      </c>
      <c r="D10" s="1" t="s">
        <v>19</v>
      </c>
      <c r="E10" s="1" t="s">
        <v>42</v>
      </c>
      <c r="F10">
        <v>487008981.82999998</v>
      </c>
      <c r="G10" s="2">
        <v>47859</v>
      </c>
      <c r="H10">
        <v>3</v>
      </c>
      <c r="I10" s="1" t="s">
        <v>52</v>
      </c>
      <c r="J10" s="1" t="s">
        <v>22</v>
      </c>
      <c r="K10">
        <v>6674228041.5799999</v>
      </c>
      <c r="L10">
        <v>798779937.55999994</v>
      </c>
      <c r="M10">
        <v>159987.52599999998</v>
      </c>
      <c r="N10">
        <v>1850</v>
      </c>
      <c r="O10">
        <v>4</v>
      </c>
      <c r="P10">
        <v>159987.52599999998</v>
      </c>
      <c r="Q10">
        <v>4</v>
      </c>
      <c r="R10">
        <f xml:space="preserve"> (Master_Ledger_Data[[#This Row],[Outstanding_Balance_AUD]]/Master_Ledger_Data[[#This Row],[EVIC_AUD]]) *Master_Ledger_Data[[#This Row],[Estimated_Scope_1_2_Total]]</f>
        <v>11674.063525752055</v>
      </c>
    </row>
    <row r="11" spans="1:18" x14ac:dyDescent="0.3">
      <c r="A11" s="1" t="s">
        <v>53</v>
      </c>
      <c r="B11" t="s">
        <v>431</v>
      </c>
      <c r="C11" s="1" t="s">
        <v>27</v>
      </c>
      <c r="D11" s="1" t="s">
        <v>24</v>
      </c>
      <c r="E11" s="1" t="s">
        <v>37</v>
      </c>
      <c r="F11">
        <v>259546047.00999999</v>
      </c>
      <c r="G11" s="2">
        <v>48932</v>
      </c>
      <c r="H11">
        <v>9</v>
      </c>
      <c r="I11" s="1" t="s">
        <v>54</v>
      </c>
      <c r="J11" s="1" t="s">
        <v>31</v>
      </c>
      <c r="K11">
        <v>1633949298.04</v>
      </c>
      <c r="L11">
        <v>463441812.81999999</v>
      </c>
      <c r="M11">
        <v>31523.905999999999</v>
      </c>
      <c r="N11">
        <v>850</v>
      </c>
      <c r="O11">
        <v>4</v>
      </c>
      <c r="P11">
        <v>31523.905999999999</v>
      </c>
      <c r="Q11">
        <v>4</v>
      </c>
      <c r="R11">
        <f xml:space="preserve"> (Master_Ledger_Data[[#This Row],[Outstanding_Balance_AUD]]/Master_Ledger_Data[[#This Row],[EVIC_AUD]]) *Master_Ledger_Data[[#This Row],[Estimated_Scope_1_2_Total]]</f>
        <v>5007.441294799909</v>
      </c>
    </row>
    <row r="12" spans="1:18" x14ac:dyDescent="0.3">
      <c r="A12" s="1" t="s">
        <v>55</v>
      </c>
      <c r="B12" t="s">
        <v>432</v>
      </c>
      <c r="C12" s="1" t="s">
        <v>27</v>
      </c>
      <c r="D12" s="1" t="s">
        <v>19</v>
      </c>
      <c r="E12" s="1" t="s">
        <v>37</v>
      </c>
      <c r="F12">
        <v>430670501.32999998</v>
      </c>
      <c r="G12" s="2">
        <v>46699</v>
      </c>
      <c r="H12">
        <v>5</v>
      </c>
      <c r="I12" s="1" t="s">
        <v>56</v>
      </c>
      <c r="J12" s="1" t="s">
        <v>22</v>
      </c>
      <c r="K12">
        <v>2566582996.9200001</v>
      </c>
      <c r="L12">
        <v>869464365.53999996</v>
      </c>
      <c r="M12">
        <v>31523.905999999999</v>
      </c>
      <c r="N12">
        <v>850</v>
      </c>
      <c r="O12">
        <v>4</v>
      </c>
      <c r="P12">
        <v>31523.905999999999</v>
      </c>
      <c r="Q12">
        <v>4</v>
      </c>
      <c r="R12">
        <f xml:space="preserve"> (Master_Ledger_Data[[#This Row],[Outstanding_Balance_AUD]]/Master_Ledger_Data[[#This Row],[EVIC_AUD]]) *Master_Ledger_Data[[#This Row],[Estimated_Scope_1_2_Total]]</f>
        <v>5289.6853198170584</v>
      </c>
    </row>
    <row r="13" spans="1:18" x14ac:dyDescent="0.3">
      <c r="A13" s="1" t="s">
        <v>57</v>
      </c>
      <c r="B13" t="s">
        <v>433</v>
      </c>
      <c r="C13" s="1" t="s">
        <v>27</v>
      </c>
      <c r="D13" s="1" t="s">
        <v>28</v>
      </c>
      <c r="E13" s="1" t="s">
        <v>37</v>
      </c>
      <c r="F13">
        <v>37200538.530000001</v>
      </c>
      <c r="G13" s="2">
        <v>48488</v>
      </c>
      <c r="H13">
        <v>9</v>
      </c>
      <c r="I13" s="1" t="s">
        <v>58</v>
      </c>
      <c r="J13" s="1" t="s">
        <v>22</v>
      </c>
      <c r="K13">
        <v>430945321.68000001</v>
      </c>
      <c r="L13">
        <v>106847901.73999999</v>
      </c>
      <c r="M13">
        <v>16027.19</v>
      </c>
      <c r="N13">
        <v>850</v>
      </c>
      <c r="O13">
        <v>4</v>
      </c>
      <c r="P13">
        <v>16027.19</v>
      </c>
      <c r="Q13">
        <v>2</v>
      </c>
      <c r="R13">
        <f xml:space="preserve"> (Master_Ledger_Data[[#This Row],[Outstanding_Balance_AUD]]/Master_Ledger_Data[[#This Row],[EVIC_AUD]]) *Master_Ledger_Data[[#This Row],[Estimated_Scope_1_2_Total]]</f>
        <v>1383.5168155401304</v>
      </c>
    </row>
    <row r="14" spans="1:18" x14ac:dyDescent="0.3">
      <c r="A14" s="1" t="s">
        <v>59</v>
      </c>
      <c r="B14" t="s">
        <v>434</v>
      </c>
      <c r="C14" s="1" t="s">
        <v>48</v>
      </c>
      <c r="D14" s="1" t="s">
        <v>28</v>
      </c>
      <c r="E14" s="1" t="s">
        <v>37</v>
      </c>
      <c r="F14">
        <v>283827667.82999998</v>
      </c>
      <c r="G14" s="2">
        <v>48094</v>
      </c>
      <c r="H14">
        <v>9</v>
      </c>
      <c r="I14" s="1" t="s">
        <v>60</v>
      </c>
      <c r="J14" s="1" t="s">
        <v>31</v>
      </c>
      <c r="K14">
        <v>2253267193.6199999</v>
      </c>
      <c r="L14">
        <v>358058373.14999998</v>
      </c>
      <c r="M14">
        <v>179029.19</v>
      </c>
      <c r="N14">
        <v>1850</v>
      </c>
      <c r="O14">
        <v>4</v>
      </c>
      <c r="P14">
        <v>179029.19</v>
      </c>
      <c r="Q14">
        <v>2</v>
      </c>
      <c r="R14">
        <f xml:space="preserve"> (Master_Ledger_Data[[#This Row],[Outstanding_Balance_AUD]]/Master_Ledger_Data[[#This Row],[EVIC_AUD]]) *Master_Ledger_Data[[#This Row],[Estimated_Scope_1_2_Total]]</f>
        <v>22551.00398881649</v>
      </c>
    </row>
    <row r="15" spans="1:18" x14ac:dyDescent="0.3">
      <c r="A15" s="1" t="s">
        <v>61</v>
      </c>
      <c r="B15" t="s">
        <v>435</v>
      </c>
      <c r="C15" s="1" t="s">
        <v>41</v>
      </c>
      <c r="D15" s="1" t="s">
        <v>49</v>
      </c>
      <c r="E15" s="1" t="s">
        <v>29</v>
      </c>
      <c r="F15">
        <v>53347696.43</v>
      </c>
      <c r="G15" s="2">
        <v>47416</v>
      </c>
      <c r="H15">
        <v>7</v>
      </c>
      <c r="I15" s="1" t="s">
        <v>62</v>
      </c>
      <c r="J15" s="1" t="s">
        <v>31</v>
      </c>
      <c r="K15">
        <v>58682466.07</v>
      </c>
      <c r="L15">
        <v>85376652.260000005</v>
      </c>
      <c r="M15">
        <v>50221.180256410262</v>
      </c>
      <c r="N15">
        <v>732</v>
      </c>
      <c r="O15">
        <v>4.1760000000000002</v>
      </c>
      <c r="P15">
        <v>50221.180256410262</v>
      </c>
      <c r="Q15">
        <v>3.0759493670886076</v>
      </c>
      <c r="R15">
        <f xml:space="preserve"> (Master_Ledger_Data[[#This Row],[Outstanding_Balance_AUD]]/Master_Ledger_Data[[#This Row],[EVIC_AUD]]) *Master_Ledger_Data[[#This Row],[Estimated_Scope_1_2_Total]]</f>
        <v>45655.618417252459</v>
      </c>
    </row>
    <row r="16" spans="1:18" x14ac:dyDescent="0.3">
      <c r="A16" s="1" t="s">
        <v>63</v>
      </c>
      <c r="B16" t="s">
        <v>436</v>
      </c>
      <c r="C16" s="1" t="s">
        <v>48</v>
      </c>
      <c r="D16" s="1" t="s">
        <v>49</v>
      </c>
      <c r="E16" s="1" t="s">
        <v>29</v>
      </c>
      <c r="F16">
        <v>250112570.50999999</v>
      </c>
      <c r="G16" s="2">
        <v>46087</v>
      </c>
      <c r="H16">
        <v>1</v>
      </c>
      <c r="I16" s="1" t="s">
        <v>64</v>
      </c>
      <c r="J16" s="1" t="s">
        <v>22</v>
      </c>
      <c r="K16">
        <v>1279159422.95</v>
      </c>
      <c r="L16">
        <v>146558788.78999999</v>
      </c>
      <c r="M16">
        <v>159987.52599999998</v>
      </c>
      <c r="N16">
        <v>1850</v>
      </c>
      <c r="O16">
        <v>4</v>
      </c>
      <c r="P16">
        <v>159987.52599999998</v>
      </c>
      <c r="Q16">
        <v>4</v>
      </c>
      <c r="R16">
        <f xml:space="preserve"> (Master_Ledger_Data[[#This Row],[Outstanding_Balance_AUD]]/Master_Ledger_Data[[#This Row],[EVIC_AUD]]) *Master_Ledger_Data[[#This Row],[Estimated_Scope_1_2_Total]]</f>
        <v>31282.176919834612</v>
      </c>
    </row>
    <row r="17" spans="1:18" x14ac:dyDescent="0.3">
      <c r="A17" s="1" t="s">
        <v>65</v>
      </c>
      <c r="B17" t="s">
        <v>422</v>
      </c>
      <c r="C17" s="1" t="s">
        <v>66</v>
      </c>
      <c r="D17" s="1" t="s">
        <v>49</v>
      </c>
      <c r="E17" s="1" t="s">
        <v>20</v>
      </c>
      <c r="F17">
        <v>332948530.75999999</v>
      </c>
      <c r="G17" s="2">
        <v>49126</v>
      </c>
      <c r="H17">
        <v>6</v>
      </c>
      <c r="I17" s="1" t="s">
        <v>67</v>
      </c>
      <c r="J17" s="1" t="s">
        <v>22</v>
      </c>
      <c r="K17">
        <v>4182361137.96</v>
      </c>
      <c r="L17">
        <v>717938818.30999994</v>
      </c>
      <c r="M17">
        <v>56434.683999999994</v>
      </c>
      <c r="N17">
        <v>1200</v>
      </c>
      <c r="O17">
        <v>4</v>
      </c>
      <c r="P17">
        <v>56434.683999999994</v>
      </c>
      <c r="Q17">
        <v>4</v>
      </c>
      <c r="R17">
        <f xml:space="preserve"> (Master_Ledger_Data[[#This Row],[Outstanding_Balance_AUD]]/Master_Ledger_Data[[#This Row],[EVIC_AUD]]) *Master_Ledger_Data[[#This Row],[Estimated_Scope_1_2_Total]]</f>
        <v>4492.6405209641616</v>
      </c>
    </row>
    <row r="18" spans="1:18" x14ac:dyDescent="0.3">
      <c r="A18" s="1" t="s">
        <v>68</v>
      </c>
      <c r="B18" t="s">
        <v>423</v>
      </c>
      <c r="C18" s="1" t="s">
        <v>69</v>
      </c>
      <c r="D18" s="1" t="s">
        <v>49</v>
      </c>
      <c r="E18" s="1" t="s">
        <v>29</v>
      </c>
      <c r="F18">
        <v>275621588.26999998</v>
      </c>
      <c r="G18" s="2">
        <v>47553</v>
      </c>
      <c r="H18">
        <v>2</v>
      </c>
      <c r="I18" s="1" t="s">
        <v>70</v>
      </c>
      <c r="J18" s="1" t="s">
        <v>22</v>
      </c>
      <c r="K18">
        <v>1528856731.1099999</v>
      </c>
      <c r="L18">
        <v>514523682.93000001</v>
      </c>
      <c r="M18">
        <v>77178.55</v>
      </c>
      <c r="N18">
        <v>1136</v>
      </c>
      <c r="O18">
        <v>4</v>
      </c>
      <c r="P18">
        <v>77178.55</v>
      </c>
      <c r="Q18">
        <v>2</v>
      </c>
      <c r="R18">
        <f xml:space="preserve"> (Master_Ledger_Data[[#This Row],[Outstanding_Balance_AUD]]/Master_Ledger_Data[[#This Row],[EVIC_AUD]]) *Master_Ledger_Data[[#This Row],[Estimated_Scope_1_2_Total]]</f>
        <v>13913.71349487495</v>
      </c>
    </row>
    <row r="19" spans="1:18" x14ac:dyDescent="0.3">
      <c r="A19" s="1" t="s">
        <v>71</v>
      </c>
      <c r="B19" t="s">
        <v>424</v>
      </c>
      <c r="C19" s="1" t="s">
        <v>45</v>
      </c>
      <c r="D19" s="1" t="s">
        <v>19</v>
      </c>
      <c r="E19" s="1" t="s">
        <v>20</v>
      </c>
      <c r="F19">
        <v>227628296.02000001</v>
      </c>
      <c r="G19" s="2">
        <v>46254</v>
      </c>
      <c r="H19">
        <v>4</v>
      </c>
      <c r="I19" s="1" t="s">
        <v>72</v>
      </c>
      <c r="J19" s="1" t="s">
        <v>31</v>
      </c>
      <c r="K19">
        <v>587226762.63</v>
      </c>
      <c r="L19">
        <v>554919557.44000006</v>
      </c>
      <c r="M19">
        <v>83237.929999999993</v>
      </c>
      <c r="N19">
        <v>1136</v>
      </c>
      <c r="O19">
        <v>4</v>
      </c>
      <c r="P19">
        <v>83237.929999999993</v>
      </c>
      <c r="Q19">
        <v>2</v>
      </c>
      <c r="R19">
        <f xml:space="preserve"> (Master_Ledger_Data[[#This Row],[Outstanding_Balance_AUD]]/Master_Ledger_Data[[#This Row],[EVIC_AUD]]) *Master_Ledger_Data[[#This Row],[Estimated_Scope_1_2_Total]]</f>
        <v>32265.743620527672</v>
      </c>
    </row>
    <row r="20" spans="1:18" x14ac:dyDescent="0.3">
      <c r="A20" s="1" t="s">
        <v>73</v>
      </c>
      <c r="B20" t="s">
        <v>425</v>
      </c>
      <c r="C20" s="1" t="s">
        <v>33</v>
      </c>
      <c r="D20" s="1" t="s">
        <v>49</v>
      </c>
      <c r="E20" s="1" t="s">
        <v>37</v>
      </c>
      <c r="F20">
        <v>364999637.94999999</v>
      </c>
      <c r="G20" s="2">
        <v>49395</v>
      </c>
      <c r="H20">
        <v>8</v>
      </c>
      <c r="I20" s="1" t="s">
        <v>74</v>
      </c>
      <c r="J20" s="1" t="s">
        <v>31</v>
      </c>
      <c r="K20">
        <v>1446609548.71</v>
      </c>
      <c r="L20">
        <v>728083008.47000003</v>
      </c>
      <c r="M20">
        <v>50221.180256410262</v>
      </c>
      <c r="N20">
        <v>732</v>
      </c>
      <c r="O20">
        <v>4.1760000000000002</v>
      </c>
      <c r="P20">
        <v>50221.180256410262</v>
      </c>
      <c r="Q20">
        <v>3.0759493670886076</v>
      </c>
      <c r="R20">
        <f xml:space="preserve"> (Master_Ledger_Data[[#This Row],[Outstanding_Balance_AUD]]/Master_Ledger_Data[[#This Row],[EVIC_AUD]]) *Master_Ledger_Data[[#This Row],[Estimated_Scope_1_2_Total]]</f>
        <v>12671.499802664559</v>
      </c>
    </row>
    <row r="21" spans="1:18" x14ac:dyDescent="0.3">
      <c r="A21" s="1" t="s">
        <v>75</v>
      </c>
      <c r="B21" t="s">
        <v>426</v>
      </c>
      <c r="C21" s="1" t="s">
        <v>45</v>
      </c>
      <c r="D21" s="1" t="s">
        <v>28</v>
      </c>
      <c r="E21" s="1" t="s">
        <v>37</v>
      </c>
      <c r="F21">
        <v>102011516.90000001</v>
      </c>
      <c r="G21" s="2">
        <v>47069</v>
      </c>
      <c r="H21">
        <v>8</v>
      </c>
      <c r="I21" s="1" t="s">
        <v>76</v>
      </c>
      <c r="J21" s="1" t="s">
        <v>39</v>
      </c>
      <c r="K21">
        <v>112212668.59</v>
      </c>
      <c r="L21">
        <v>100987031.15000001</v>
      </c>
      <c r="M21">
        <v>50221.180256410262</v>
      </c>
      <c r="N21">
        <v>732</v>
      </c>
      <c r="O21">
        <v>4.1760000000000002</v>
      </c>
      <c r="P21">
        <v>50221.180256410262</v>
      </c>
      <c r="Q21">
        <v>3.0759493670886076</v>
      </c>
      <c r="R21">
        <f xml:space="preserve"> (Master_Ledger_Data[[#This Row],[Outstanding_Balance_AUD]]/Master_Ledger_Data[[#This Row],[EVIC_AUD]]) *Master_Ledger_Data[[#This Row],[Estimated_Scope_1_2_Total]]</f>
        <v>45655.618414918419</v>
      </c>
    </row>
    <row r="22" spans="1:18" x14ac:dyDescent="0.3">
      <c r="A22" s="1" t="s">
        <v>77</v>
      </c>
      <c r="B22" t="s">
        <v>427</v>
      </c>
      <c r="C22" s="1" t="s">
        <v>45</v>
      </c>
      <c r="D22" s="1" t="s">
        <v>24</v>
      </c>
      <c r="E22" s="1" t="s">
        <v>20</v>
      </c>
      <c r="F22">
        <v>197395258.40000001</v>
      </c>
      <c r="G22" s="2">
        <v>46390</v>
      </c>
      <c r="H22">
        <v>5</v>
      </c>
      <c r="I22" s="1" t="s">
        <v>78</v>
      </c>
      <c r="J22" s="1" t="s">
        <v>31</v>
      </c>
      <c r="K22">
        <v>237541986.27000001</v>
      </c>
      <c r="L22">
        <v>290505264.27999997</v>
      </c>
      <c r="M22">
        <v>43575.79</v>
      </c>
      <c r="N22">
        <v>1136</v>
      </c>
      <c r="O22">
        <v>4</v>
      </c>
      <c r="P22">
        <v>43575.79</v>
      </c>
      <c r="Q22">
        <v>2</v>
      </c>
      <c r="R22">
        <f xml:space="preserve"> (Master_Ledger_Data[[#This Row],[Outstanding_Balance_AUD]]/Master_Ledger_Data[[#This Row],[EVIC_AUD]]) *Master_Ledger_Data[[#This Row],[Estimated_Scope_1_2_Total]]</f>
        <v>36211.090351232233</v>
      </c>
    </row>
    <row r="23" spans="1:18" x14ac:dyDescent="0.3">
      <c r="A23" s="1" t="s">
        <v>79</v>
      </c>
      <c r="B23" t="s">
        <v>428</v>
      </c>
      <c r="C23" s="1" t="s">
        <v>80</v>
      </c>
      <c r="D23" s="1" t="s">
        <v>28</v>
      </c>
      <c r="E23" s="1" t="s">
        <v>29</v>
      </c>
      <c r="F23">
        <v>181592896.71000001</v>
      </c>
      <c r="G23" s="2">
        <v>46816</v>
      </c>
      <c r="H23">
        <v>9</v>
      </c>
      <c r="I23" s="1" t="s">
        <v>81</v>
      </c>
      <c r="J23" s="1" t="s">
        <v>39</v>
      </c>
      <c r="K23">
        <v>2767296788.7600002</v>
      </c>
      <c r="L23">
        <v>252756123.37</v>
      </c>
      <c r="M23">
        <v>6167.4220000000005</v>
      </c>
      <c r="N23">
        <v>15</v>
      </c>
      <c r="O23">
        <v>4</v>
      </c>
      <c r="P23">
        <v>6167.4220000000005</v>
      </c>
      <c r="Q23">
        <v>4</v>
      </c>
      <c r="R23">
        <f xml:space="preserve"> (Master_Ledger_Data[[#This Row],[Outstanding_Balance_AUD]]/Master_Ledger_Data[[#This Row],[EVIC_AUD]]) *Master_Ledger_Data[[#This Row],[Estimated_Scope_1_2_Total]]</f>
        <v>404.71265343202504</v>
      </c>
    </row>
    <row r="24" spans="1:18" x14ac:dyDescent="0.3">
      <c r="A24" s="1" t="s">
        <v>82</v>
      </c>
      <c r="B24" t="s">
        <v>429</v>
      </c>
      <c r="C24" s="1" t="s">
        <v>48</v>
      </c>
      <c r="D24" s="1" t="s">
        <v>49</v>
      </c>
      <c r="E24" s="1" t="s">
        <v>29</v>
      </c>
      <c r="F24">
        <v>402087505.47000003</v>
      </c>
      <c r="G24" s="2">
        <v>46117</v>
      </c>
      <c r="H24">
        <v>9</v>
      </c>
      <c r="I24" s="1" t="s">
        <v>83</v>
      </c>
      <c r="J24" s="1" t="s">
        <v>22</v>
      </c>
      <c r="K24">
        <v>2880967533.1700001</v>
      </c>
      <c r="L24">
        <v>342703427.94</v>
      </c>
      <c r="M24">
        <v>159987.52599999998</v>
      </c>
      <c r="N24">
        <v>1850</v>
      </c>
      <c r="O24">
        <v>4</v>
      </c>
      <c r="P24">
        <v>159987.52599999998</v>
      </c>
      <c r="Q24">
        <v>4</v>
      </c>
      <c r="R24">
        <f xml:space="preserve"> (Master_Ledger_Data[[#This Row],[Outstanding_Balance_AUD]]/Master_Ledger_Data[[#This Row],[EVIC_AUD]]) *Master_Ledger_Data[[#This Row],[Estimated_Scope_1_2_Total]]</f>
        <v>22328.951817403507</v>
      </c>
    </row>
    <row r="25" spans="1:18" x14ac:dyDescent="0.3">
      <c r="A25" s="1" t="s">
        <v>84</v>
      </c>
      <c r="B25" t="s">
        <v>430</v>
      </c>
      <c r="C25" s="1" t="s">
        <v>27</v>
      </c>
      <c r="D25" s="1" t="s">
        <v>19</v>
      </c>
      <c r="E25" s="1" t="s">
        <v>20</v>
      </c>
      <c r="F25">
        <v>214583732.94999999</v>
      </c>
      <c r="G25" s="2">
        <v>47205</v>
      </c>
      <c r="H25">
        <v>8</v>
      </c>
      <c r="I25" s="1" t="s">
        <v>85</v>
      </c>
      <c r="J25" s="1" t="s">
        <v>39</v>
      </c>
      <c r="K25">
        <v>2400582499.3800001</v>
      </c>
      <c r="L25">
        <v>636716573.61000001</v>
      </c>
      <c r="M25">
        <v>31523.905999999999</v>
      </c>
      <c r="N25">
        <v>850</v>
      </c>
      <c r="O25">
        <v>4</v>
      </c>
      <c r="P25">
        <v>31523.905999999999</v>
      </c>
      <c r="Q25">
        <v>4</v>
      </c>
      <c r="R25">
        <f xml:space="preserve"> (Master_Ledger_Data[[#This Row],[Outstanding_Balance_AUD]]/Master_Ledger_Data[[#This Row],[EVIC_AUD]]) *Master_Ledger_Data[[#This Row],[Estimated_Scope_1_2_Total]]</f>
        <v>2817.8650091767222</v>
      </c>
    </row>
    <row r="26" spans="1:18" x14ac:dyDescent="0.3">
      <c r="A26" s="1" t="s">
        <v>86</v>
      </c>
      <c r="B26" t="s">
        <v>431</v>
      </c>
      <c r="C26" s="1" t="s">
        <v>18</v>
      </c>
      <c r="D26" s="1" t="s">
        <v>19</v>
      </c>
      <c r="E26" s="1" t="s">
        <v>29</v>
      </c>
      <c r="F26">
        <v>11969512.24</v>
      </c>
      <c r="G26" s="2">
        <v>47575</v>
      </c>
      <c r="H26">
        <v>1</v>
      </c>
      <c r="I26" s="1" t="s">
        <v>87</v>
      </c>
      <c r="J26" s="1" t="s">
        <v>31</v>
      </c>
      <c r="K26">
        <v>69260336.959999993</v>
      </c>
      <c r="L26">
        <v>6149998.7400000002</v>
      </c>
      <c r="M26">
        <v>123</v>
      </c>
      <c r="N26">
        <v>25</v>
      </c>
      <c r="O26">
        <v>5</v>
      </c>
      <c r="P26">
        <v>123</v>
      </c>
      <c r="Q26">
        <v>2</v>
      </c>
      <c r="R26">
        <f xml:space="preserve"> (Master_Ledger_Data[[#This Row],[Outstanding_Balance_AUD]]/Master_Ledger_Data[[#This Row],[EVIC_AUD]]) *Master_Ledger_Data[[#This Row],[Estimated_Scope_1_2_Total]]</f>
        <v>21.256754877907543</v>
      </c>
    </row>
    <row r="27" spans="1:18" x14ac:dyDescent="0.3">
      <c r="A27" s="1" t="s">
        <v>88</v>
      </c>
      <c r="B27" t="s">
        <v>432</v>
      </c>
      <c r="C27" s="1" t="s">
        <v>69</v>
      </c>
      <c r="D27" s="1" t="s">
        <v>28</v>
      </c>
      <c r="E27" s="1" t="s">
        <v>29</v>
      </c>
      <c r="F27">
        <v>365858548.18000001</v>
      </c>
      <c r="G27" s="2">
        <v>48389</v>
      </c>
      <c r="H27">
        <v>5</v>
      </c>
      <c r="I27" s="1" t="s">
        <v>89</v>
      </c>
      <c r="J27" s="1" t="s">
        <v>39</v>
      </c>
      <c r="K27">
        <v>3202506968.0700002</v>
      </c>
      <c r="L27">
        <v>849713034.37</v>
      </c>
      <c r="M27">
        <v>50221.180256410262</v>
      </c>
      <c r="N27">
        <v>732</v>
      </c>
      <c r="O27">
        <v>4.1760000000000002</v>
      </c>
      <c r="P27">
        <v>50221.180256410262</v>
      </c>
      <c r="Q27">
        <v>3.0759493670886076</v>
      </c>
      <c r="R27">
        <f xml:space="preserve"> (Master_Ledger_Data[[#This Row],[Outstanding_Balance_AUD]]/Master_Ledger_Data[[#This Row],[EVIC_AUD]]) *Master_Ledger_Data[[#This Row],[Estimated_Scope_1_2_Total]]</f>
        <v>5737.3327457799069</v>
      </c>
    </row>
    <row r="28" spans="1:18" x14ac:dyDescent="0.3">
      <c r="A28" s="1" t="s">
        <v>90</v>
      </c>
      <c r="B28" t="s">
        <v>433</v>
      </c>
      <c r="C28" s="1" t="s">
        <v>45</v>
      </c>
      <c r="D28" s="1" t="s">
        <v>49</v>
      </c>
      <c r="E28" s="1" t="s">
        <v>42</v>
      </c>
      <c r="F28">
        <v>182440535.63</v>
      </c>
      <c r="G28" s="2">
        <v>48141</v>
      </c>
      <c r="H28">
        <v>7</v>
      </c>
      <c r="I28" s="1" t="s">
        <v>91</v>
      </c>
      <c r="J28" s="1" t="s">
        <v>39</v>
      </c>
      <c r="K28">
        <v>194021189.5</v>
      </c>
      <c r="L28">
        <v>254716966.62</v>
      </c>
      <c r="M28">
        <v>38207.54</v>
      </c>
      <c r="N28">
        <v>1136</v>
      </c>
      <c r="O28">
        <v>4</v>
      </c>
      <c r="P28">
        <v>38207.54</v>
      </c>
      <c r="Q28">
        <v>2</v>
      </c>
      <c r="R28">
        <f xml:space="preserve"> (Master_Ledger_Data[[#This Row],[Outstanding_Balance_AUD]]/Master_Ledger_Data[[#This Row],[EVIC_AUD]]) *Master_Ledger_Data[[#This Row],[Estimated_Scope_1_2_Total]]</f>
        <v>35927.024675336557</v>
      </c>
    </row>
    <row r="29" spans="1:18" x14ac:dyDescent="0.3">
      <c r="A29" s="1" t="s">
        <v>92</v>
      </c>
      <c r="B29" t="s">
        <v>434</v>
      </c>
      <c r="C29" s="1" t="s">
        <v>41</v>
      </c>
      <c r="D29" s="1" t="s">
        <v>28</v>
      </c>
      <c r="E29" s="1" t="s">
        <v>29</v>
      </c>
      <c r="F29">
        <v>313532572.77999997</v>
      </c>
      <c r="G29" s="2">
        <v>49030</v>
      </c>
      <c r="H29">
        <v>1</v>
      </c>
      <c r="I29" s="1" t="s">
        <v>93</v>
      </c>
      <c r="J29" s="1" t="s">
        <v>39</v>
      </c>
      <c r="K29">
        <v>361005914.97000003</v>
      </c>
      <c r="L29">
        <v>645326949.66999996</v>
      </c>
      <c r="M29">
        <v>50221.180256410262</v>
      </c>
      <c r="N29">
        <v>732</v>
      </c>
      <c r="O29">
        <v>4.1760000000000002</v>
      </c>
      <c r="P29">
        <v>50221.180256410262</v>
      </c>
      <c r="Q29">
        <v>3.0759493670886076</v>
      </c>
      <c r="R29">
        <f xml:space="preserve"> (Master_Ledger_Data[[#This Row],[Outstanding_Balance_AUD]]/Master_Ledger_Data[[#This Row],[EVIC_AUD]]) *Master_Ledger_Data[[#This Row],[Estimated_Scope_1_2_Total]]</f>
        <v>43616.946983123402</v>
      </c>
    </row>
    <row r="30" spans="1:18" x14ac:dyDescent="0.3">
      <c r="A30" s="1" t="s">
        <v>94</v>
      </c>
      <c r="B30" t="s">
        <v>435</v>
      </c>
      <c r="C30" s="1" t="s">
        <v>41</v>
      </c>
      <c r="D30" s="1" t="s">
        <v>28</v>
      </c>
      <c r="E30" s="1" t="s">
        <v>29</v>
      </c>
      <c r="F30">
        <v>188555034.84</v>
      </c>
      <c r="G30" s="2">
        <v>47804</v>
      </c>
      <c r="H30">
        <v>5</v>
      </c>
      <c r="I30" s="1" t="s">
        <v>95</v>
      </c>
      <c r="J30" s="1" t="s">
        <v>22</v>
      </c>
      <c r="K30">
        <v>207410538.31999999</v>
      </c>
      <c r="L30">
        <v>240870723.68000001</v>
      </c>
      <c r="M30">
        <v>36130.61</v>
      </c>
      <c r="N30">
        <v>1136</v>
      </c>
      <c r="O30">
        <v>4</v>
      </c>
      <c r="P30">
        <v>36130.61</v>
      </c>
      <c r="Q30">
        <v>2</v>
      </c>
      <c r="R30">
        <f xml:space="preserve"> (Master_Ledger_Data[[#This Row],[Outstanding_Balance_AUD]]/Master_Ledger_Data[[#This Row],[EVIC_AUD]]) *Master_Ledger_Data[[#This Row],[Estimated_Scope_1_2_Total]]</f>
        <v>32846.009091542546</v>
      </c>
    </row>
    <row r="31" spans="1:18" x14ac:dyDescent="0.3">
      <c r="A31" s="1" t="s">
        <v>96</v>
      </c>
      <c r="B31" t="s">
        <v>436</v>
      </c>
      <c r="C31" s="1" t="s">
        <v>80</v>
      </c>
      <c r="D31" s="1" t="s">
        <v>49</v>
      </c>
      <c r="E31" s="1" t="s">
        <v>29</v>
      </c>
      <c r="F31">
        <v>297692404.92000002</v>
      </c>
      <c r="G31" s="2">
        <v>48826</v>
      </c>
      <c r="H31">
        <v>3</v>
      </c>
      <c r="I31" s="1" t="s">
        <v>97</v>
      </c>
      <c r="J31" s="1" t="s">
        <v>39</v>
      </c>
      <c r="K31">
        <v>8638580874.2299995</v>
      </c>
      <c r="L31">
        <v>623336244.76999998</v>
      </c>
      <c r="M31">
        <v>6167.4220000000005</v>
      </c>
      <c r="N31">
        <v>15</v>
      </c>
      <c r="O31">
        <v>4</v>
      </c>
      <c r="P31">
        <v>6167.4220000000005</v>
      </c>
      <c r="Q31">
        <v>4</v>
      </c>
      <c r="R31">
        <f xml:space="preserve"> (Master_Ledger_Data[[#This Row],[Outstanding_Balance_AUD]]/Master_Ledger_Data[[#This Row],[EVIC_AUD]]) *Master_Ledger_Data[[#This Row],[Estimated_Scope_1_2_Total]]</f>
        <v>212.53429400811947</v>
      </c>
    </row>
    <row r="32" spans="1:18" x14ac:dyDescent="0.3">
      <c r="A32" s="1" t="s">
        <v>98</v>
      </c>
      <c r="B32" t="s">
        <v>422</v>
      </c>
      <c r="C32" s="1" t="s">
        <v>69</v>
      </c>
      <c r="D32" s="1" t="s">
        <v>19</v>
      </c>
      <c r="E32" s="1" t="s">
        <v>42</v>
      </c>
      <c r="F32">
        <v>64199151.740000002</v>
      </c>
      <c r="G32" s="2">
        <v>47538</v>
      </c>
      <c r="H32">
        <v>3</v>
      </c>
      <c r="I32" s="1" t="s">
        <v>99</v>
      </c>
      <c r="J32" s="1" t="s">
        <v>31</v>
      </c>
      <c r="K32">
        <v>189276255.53999999</v>
      </c>
      <c r="L32">
        <v>51294198.729999997</v>
      </c>
      <c r="M32">
        <v>7694.13</v>
      </c>
      <c r="N32">
        <v>1136</v>
      </c>
      <c r="O32">
        <v>4</v>
      </c>
      <c r="P32">
        <v>7694.13</v>
      </c>
      <c r="Q32">
        <v>2</v>
      </c>
      <c r="R32">
        <f xml:space="preserve"> (Master_Ledger_Data[[#This Row],[Outstanding_Balance_AUD]]/Master_Ledger_Data[[#This Row],[EVIC_AUD]]) *Master_Ledger_Data[[#This Row],[Estimated_Scope_1_2_Total]]</f>
        <v>2609.7125493530157</v>
      </c>
    </row>
    <row r="33" spans="1:18" x14ac:dyDescent="0.3">
      <c r="A33" s="1" t="s">
        <v>100</v>
      </c>
      <c r="B33" t="s">
        <v>423</v>
      </c>
      <c r="C33" s="1" t="s">
        <v>80</v>
      </c>
      <c r="D33" s="1" t="s">
        <v>24</v>
      </c>
      <c r="E33" s="1" t="s">
        <v>42</v>
      </c>
      <c r="F33">
        <v>362256112.98000002</v>
      </c>
      <c r="G33" s="2">
        <v>46555</v>
      </c>
      <c r="H33">
        <v>7</v>
      </c>
      <c r="I33" s="1" t="s">
        <v>101</v>
      </c>
      <c r="J33" s="1" t="s">
        <v>39</v>
      </c>
      <c r="K33">
        <v>9170038782.2000008</v>
      </c>
      <c r="L33">
        <v>689443296.23000002</v>
      </c>
      <c r="M33">
        <v>6167.4220000000005</v>
      </c>
      <c r="N33">
        <v>15</v>
      </c>
      <c r="O33">
        <v>4</v>
      </c>
      <c r="P33">
        <v>6167.4220000000005</v>
      </c>
      <c r="Q33">
        <v>4</v>
      </c>
      <c r="R33">
        <f xml:space="preserve"> (Master_Ledger_Data[[#This Row],[Outstanding_Balance_AUD]]/Master_Ledger_Data[[#This Row],[EVIC_AUD]]) *Master_Ledger_Data[[#This Row],[Estimated_Scope_1_2_Total]]</f>
        <v>243.63978974266999</v>
      </c>
    </row>
    <row r="34" spans="1:18" x14ac:dyDescent="0.3">
      <c r="A34" s="1" t="s">
        <v>102</v>
      </c>
      <c r="B34" t="s">
        <v>424</v>
      </c>
      <c r="C34" s="1" t="s">
        <v>69</v>
      </c>
      <c r="D34" s="1" t="s">
        <v>24</v>
      </c>
      <c r="E34" s="1" t="s">
        <v>37</v>
      </c>
      <c r="F34">
        <v>263752750.53999999</v>
      </c>
      <c r="G34" s="2">
        <v>47091</v>
      </c>
      <c r="H34">
        <v>10</v>
      </c>
      <c r="I34" s="1" t="s">
        <v>103</v>
      </c>
      <c r="J34" s="1" t="s">
        <v>22</v>
      </c>
      <c r="K34">
        <v>1573331630.5699999</v>
      </c>
      <c r="L34">
        <v>476556929.13999999</v>
      </c>
      <c r="M34">
        <v>50221.180256410262</v>
      </c>
      <c r="N34">
        <v>732</v>
      </c>
      <c r="O34">
        <v>4.1760000000000002</v>
      </c>
      <c r="P34">
        <v>50221.180256410262</v>
      </c>
      <c r="Q34">
        <v>3.0759493670886076</v>
      </c>
      <c r="R34">
        <f xml:space="preserve"> (Master_Ledger_Data[[#This Row],[Outstanding_Balance_AUD]]/Master_Ledger_Data[[#This Row],[EVIC_AUD]]) *Master_Ledger_Data[[#This Row],[Estimated_Scope_1_2_Total]]</f>
        <v>8419.060654869365</v>
      </c>
    </row>
    <row r="35" spans="1:18" x14ac:dyDescent="0.3">
      <c r="A35" s="1" t="s">
        <v>104</v>
      </c>
      <c r="B35" t="s">
        <v>425</v>
      </c>
      <c r="C35" s="1" t="s">
        <v>33</v>
      </c>
      <c r="D35" s="1" t="s">
        <v>19</v>
      </c>
      <c r="E35" s="1" t="s">
        <v>29</v>
      </c>
      <c r="F35">
        <v>222471568.41999999</v>
      </c>
      <c r="G35" s="2">
        <v>46916</v>
      </c>
      <c r="H35">
        <v>7</v>
      </c>
      <c r="I35" s="1" t="s">
        <v>105</v>
      </c>
      <c r="J35" s="1" t="s">
        <v>39</v>
      </c>
      <c r="K35">
        <v>236549874.59</v>
      </c>
      <c r="L35">
        <v>171242721.66999999</v>
      </c>
      <c r="M35">
        <v>25686.41</v>
      </c>
      <c r="N35">
        <v>1136</v>
      </c>
      <c r="O35">
        <v>4</v>
      </c>
      <c r="P35">
        <v>25686.41</v>
      </c>
      <c r="Q35">
        <v>2</v>
      </c>
      <c r="R35">
        <f xml:space="preserve"> (Master_Ledger_Data[[#This Row],[Outstanding_Balance_AUD]]/Master_Ledger_Data[[#This Row],[EVIC_AUD]]) *Master_Ledger_Data[[#This Row],[Estimated_Scope_1_2_Total]]</f>
        <v>24157.678923668085</v>
      </c>
    </row>
    <row r="36" spans="1:18" x14ac:dyDescent="0.3">
      <c r="A36" s="1" t="s">
        <v>106</v>
      </c>
      <c r="B36" t="s">
        <v>426</v>
      </c>
      <c r="C36" s="1" t="s">
        <v>18</v>
      </c>
      <c r="D36" s="1" t="s">
        <v>19</v>
      </c>
      <c r="E36" s="1" t="s">
        <v>42</v>
      </c>
      <c r="F36">
        <v>160606210.63</v>
      </c>
      <c r="G36" s="2">
        <v>46148</v>
      </c>
      <c r="H36">
        <v>4</v>
      </c>
      <c r="I36" s="1" t="s">
        <v>107</v>
      </c>
      <c r="J36" s="1" t="s">
        <v>31</v>
      </c>
      <c r="K36">
        <v>2072299268.01</v>
      </c>
      <c r="L36">
        <v>206521912.59</v>
      </c>
      <c r="M36">
        <v>4130.4399999999996</v>
      </c>
      <c r="N36">
        <v>25</v>
      </c>
      <c r="O36">
        <v>5</v>
      </c>
      <c r="P36">
        <v>4130.4399999999996</v>
      </c>
      <c r="Q36">
        <v>2</v>
      </c>
      <c r="R36">
        <f xml:space="preserve"> (Master_Ledger_Data[[#This Row],[Outstanding_Balance_AUD]]/Master_Ledger_Data[[#This Row],[EVIC_AUD]]) *Master_Ledger_Data[[#This Row],[Estimated_Scope_1_2_Total]]</f>
        <v>320.11511410299642</v>
      </c>
    </row>
    <row r="37" spans="1:18" x14ac:dyDescent="0.3">
      <c r="A37" s="1" t="s">
        <v>108</v>
      </c>
      <c r="B37" t="s">
        <v>427</v>
      </c>
      <c r="C37" s="1" t="s">
        <v>18</v>
      </c>
      <c r="D37" s="1" t="s">
        <v>19</v>
      </c>
      <c r="E37" s="1" t="s">
        <v>42</v>
      </c>
      <c r="F37">
        <v>73969069.930000007</v>
      </c>
      <c r="G37" s="2">
        <v>48331</v>
      </c>
      <c r="H37">
        <v>4</v>
      </c>
      <c r="I37" s="1" t="s">
        <v>109</v>
      </c>
      <c r="J37" s="1" t="s">
        <v>39</v>
      </c>
      <c r="K37">
        <v>801060112.03999996</v>
      </c>
      <c r="L37">
        <v>83084320.790000007</v>
      </c>
      <c r="M37">
        <v>1661.69</v>
      </c>
      <c r="N37">
        <v>25</v>
      </c>
      <c r="O37">
        <v>5</v>
      </c>
      <c r="P37">
        <v>1661.69</v>
      </c>
      <c r="Q37">
        <v>2</v>
      </c>
      <c r="R37">
        <f xml:space="preserve"> (Master_Ledger_Data[[#This Row],[Outstanding_Balance_AUD]]/Master_Ledger_Data[[#This Row],[EVIC_AUD]]) *Master_Ledger_Data[[#This Row],[Estimated_Scope_1_2_Total]]</f>
        <v>153.43875192957327</v>
      </c>
    </row>
    <row r="38" spans="1:18" x14ac:dyDescent="0.3">
      <c r="A38" s="1" t="s">
        <v>110</v>
      </c>
      <c r="B38" t="s">
        <v>428</v>
      </c>
      <c r="C38" s="1" t="s">
        <v>45</v>
      </c>
      <c r="D38" s="1" t="s">
        <v>24</v>
      </c>
      <c r="E38" s="1" t="s">
        <v>42</v>
      </c>
      <c r="F38">
        <v>43105055.369999997</v>
      </c>
      <c r="G38" s="2">
        <v>47775</v>
      </c>
      <c r="H38">
        <v>3</v>
      </c>
      <c r="I38" s="1" t="s">
        <v>111</v>
      </c>
      <c r="J38" s="1" t="s">
        <v>22</v>
      </c>
      <c r="K38">
        <v>47415560.909999996</v>
      </c>
      <c r="L38">
        <v>46208421.670000002</v>
      </c>
      <c r="M38">
        <v>50221.180256410262</v>
      </c>
      <c r="N38">
        <v>732</v>
      </c>
      <c r="O38">
        <v>4.1760000000000002</v>
      </c>
      <c r="P38">
        <v>50221.180256410262</v>
      </c>
      <c r="Q38">
        <v>3.0759493670886076</v>
      </c>
      <c r="R38">
        <f xml:space="preserve"> (Master_Ledger_Data[[#This Row],[Outstanding_Balance_AUD]]/Master_Ledger_Data[[#This Row],[EVIC_AUD]]) *Master_Ledger_Data[[#This Row],[Estimated_Scope_1_2_Total]]</f>
        <v>45655.618412029777</v>
      </c>
    </row>
    <row r="39" spans="1:18" x14ac:dyDescent="0.3">
      <c r="A39" s="1" t="s">
        <v>112</v>
      </c>
      <c r="B39" t="s">
        <v>429</v>
      </c>
      <c r="C39" s="1" t="s">
        <v>36</v>
      </c>
      <c r="D39" s="1" t="s">
        <v>19</v>
      </c>
      <c r="E39" s="1" t="s">
        <v>42</v>
      </c>
      <c r="F39">
        <v>440831580.31</v>
      </c>
      <c r="G39" s="2">
        <v>48782</v>
      </c>
      <c r="H39">
        <v>9</v>
      </c>
      <c r="I39" s="1" t="s">
        <v>113</v>
      </c>
      <c r="J39" s="1" t="s">
        <v>31</v>
      </c>
      <c r="K39">
        <v>7324339900.21</v>
      </c>
      <c r="L39">
        <v>398094377.25</v>
      </c>
      <c r="M39">
        <v>59714.16</v>
      </c>
      <c r="N39">
        <v>280</v>
      </c>
      <c r="O39">
        <v>4</v>
      </c>
      <c r="P39">
        <v>59714.16</v>
      </c>
      <c r="Q39">
        <v>2</v>
      </c>
      <c r="R39">
        <f xml:space="preserve"> (Master_Ledger_Data[[#This Row],[Outstanding_Balance_AUD]]/Master_Ledger_Data[[#This Row],[EVIC_AUD]]) *Master_Ledger_Data[[#This Row],[Estimated_Scope_1_2_Total]]</f>
        <v>3594.0286603751751</v>
      </c>
    </row>
    <row r="40" spans="1:18" x14ac:dyDescent="0.3">
      <c r="A40" s="1" t="s">
        <v>114</v>
      </c>
      <c r="B40" t="s">
        <v>430</v>
      </c>
      <c r="C40" s="1" t="s">
        <v>27</v>
      </c>
      <c r="D40" s="1" t="s">
        <v>19</v>
      </c>
      <c r="E40" s="1" t="s">
        <v>42</v>
      </c>
      <c r="F40">
        <v>230984612.38999999</v>
      </c>
      <c r="G40" s="2">
        <v>47696</v>
      </c>
      <c r="H40">
        <v>4</v>
      </c>
      <c r="I40" s="1" t="s">
        <v>115</v>
      </c>
      <c r="J40" s="1" t="s">
        <v>22</v>
      </c>
      <c r="K40">
        <v>1879404576.6300001</v>
      </c>
      <c r="L40">
        <v>481258609.14999998</v>
      </c>
      <c r="M40">
        <v>72188.789999999994</v>
      </c>
      <c r="N40">
        <v>850</v>
      </c>
      <c r="O40">
        <v>4</v>
      </c>
      <c r="P40">
        <v>72188.789999999994</v>
      </c>
      <c r="Q40">
        <v>2</v>
      </c>
      <c r="R40">
        <f xml:space="preserve"> (Master_Ledger_Data[[#This Row],[Outstanding_Balance_AUD]]/Master_Ledger_Data[[#This Row],[EVIC_AUD]]) *Master_Ledger_Data[[#This Row],[Estimated_Scope_1_2_Total]]</f>
        <v>8872.2246845607351</v>
      </c>
    </row>
    <row r="41" spans="1:18" x14ac:dyDescent="0.3">
      <c r="A41" s="1" t="s">
        <v>116</v>
      </c>
      <c r="B41" t="s">
        <v>431</v>
      </c>
      <c r="C41" s="1" t="s">
        <v>80</v>
      </c>
      <c r="D41" s="1" t="s">
        <v>28</v>
      </c>
      <c r="E41" s="1" t="s">
        <v>20</v>
      </c>
      <c r="F41">
        <v>442223728.16000003</v>
      </c>
      <c r="G41" s="2">
        <v>47716</v>
      </c>
      <c r="H41">
        <v>10</v>
      </c>
      <c r="I41" s="1" t="s">
        <v>117</v>
      </c>
      <c r="J41" s="1" t="s">
        <v>22</v>
      </c>
      <c r="K41">
        <v>5933811240.8000002</v>
      </c>
      <c r="L41">
        <v>427376131.58999997</v>
      </c>
      <c r="M41">
        <v>6167.4220000000005</v>
      </c>
      <c r="N41">
        <v>15</v>
      </c>
      <c r="O41">
        <v>4</v>
      </c>
      <c r="P41">
        <v>6167.4220000000005</v>
      </c>
      <c r="Q41">
        <v>4</v>
      </c>
      <c r="R41">
        <f xml:space="preserve"> (Master_Ledger_Data[[#This Row],[Outstanding_Balance_AUD]]/Master_Ledger_Data[[#This Row],[EVIC_AUD]]) *Master_Ledger_Data[[#This Row],[Estimated_Scope_1_2_Total]]</f>
        <v>459.63382374264688</v>
      </c>
    </row>
    <row r="42" spans="1:18" x14ac:dyDescent="0.3">
      <c r="A42" s="1" t="s">
        <v>118</v>
      </c>
      <c r="B42" t="s">
        <v>432</v>
      </c>
      <c r="C42" s="1" t="s">
        <v>80</v>
      </c>
      <c r="D42" s="1" t="s">
        <v>24</v>
      </c>
      <c r="E42" s="1" t="s">
        <v>29</v>
      </c>
      <c r="F42">
        <v>181367429.84999999</v>
      </c>
      <c r="G42" s="2">
        <v>48290</v>
      </c>
      <c r="H42">
        <v>1</v>
      </c>
      <c r="I42" s="1" t="s">
        <v>119</v>
      </c>
      <c r="J42" s="1" t="s">
        <v>31</v>
      </c>
      <c r="K42">
        <v>6349975518.5799999</v>
      </c>
      <c r="L42">
        <v>456792079.17000002</v>
      </c>
      <c r="M42">
        <v>6167.4220000000005</v>
      </c>
      <c r="N42">
        <v>15</v>
      </c>
      <c r="O42">
        <v>4</v>
      </c>
      <c r="P42">
        <v>6167.4220000000005</v>
      </c>
      <c r="Q42">
        <v>4</v>
      </c>
      <c r="R42">
        <f xml:space="preserve"> (Master_Ledger_Data[[#This Row],[Outstanding_Balance_AUD]]/Master_Ledger_Data[[#This Row],[EVIC_AUD]]) *Master_Ledger_Data[[#This Row],[Estimated_Scope_1_2_Total]]</f>
        <v>176.15335266528467</v>
      </c>
    </row>
    <row r="43" spans="1:18" x14ac:dyDescent="0.3">
      <c r="A43" s="1" t="s">
        <v>120</v>
      </c>
      <c r="B43" t="s">
        <v>433</v>
      </c>
      <c r="C43" s="1" t="s">
        <v>41</v>
      </c>
      <c r="D43" s="1" t="s">
        <v>19</v>
      </c>
      <c r="E43" s="1" t="s">
        <v>29</v>
      </c>
      <c r="F43">
        <v>117827905.45999999</v>
      </c>
      <c r="G43" s="2">
        <v>48733</v>
      </c>
      <c r="H43">
        <v>4</v>
      </c>
      <c r="I43" s="1" t="s">
        <v>121</v>
      </c>
      <c r="J43" s="1" t="s">
        <v>39</v>
      </c>
      <c r="K43">
        <v>129610696.01000001</v>
      </c>
      <c r="L43">
        <v>91331922.129999995</v>
      </c>
      <c r="M43">
        <v>50221.180256410262</v>
      </c>
      <c r="N43">
        <v>732</v>
      </c>
      <c r="O43">
        <v>4.1760000000000002</v>
      </c>
      <c r="P43">
        <v>50221.180256410262</v>
      </c>
      <c r="Q43">
        <v>3.0759493670886076</v>
      </c>
      <c r="R43">
        <f xml:space="preserve"> (Master_Ledger_Data[[#This Row],[Outstanding_Balance_AUD]]/Master_Ledger_Data[[#This Row],[EVIC_AUD]]) *Master_Ledger_Data[[#This Row],[Estimated_Scope_1_2_Total]]</f>
        <v>45655.618413509408</v>
      </c>
    </row>
    <row r="44" spans="1:18" x14ac:dyDescent="0.3">
      <c r="A44" s="1" t="s">
        <v>122</v>
      </c>
      <c r="B44" t="s">
        <v>434</v>
      </c>
      <c r="C44" s="1" t="s">
        <v>27</v>
      </c>
      <c r="D44" s="1" t="s">
        <v>28</v>
      </c>
      <c r="E44" s="1" t="s">
        <v>29</v>
      </c>
      <c r="F44">
        <v>155866722.78999999</v>
      </c>
      <c r="G44" s="2">
        <v>46762</v>
      </c>
      <c r="H44">
        <v>8</v>
      </c>
      <c r="I44" s="1" t="s">
        <v>123</v>
      </c>
      <c r="J44" s="1" t="s">
        <v>22</v>
      </c>
      <c r="K44">
        <v>1543346201.6600001</v>
      </c>
      <c r="L44">
        <v>396686563.29000002</v>
      </c>
      <c r="M44">
        <v>31523.905999999999</v>
      </c>
      <c r="N44">
        <v>850</v>
      </c>
      <c r="O44">
        <v>4</v>
      </c>
      <c r="P44">
        <v>31523.905999999999</v>
      </c>
      <c r="Q44">
        <v>4</v>
      </c>
      <c r="R44">
        <f xml:space="preserve"> (Master_Ledger_Data[[#This Row],[Outstanding_Balance_AUD]]/Master_Ledger_Data[[#This Row],[EVIC_AUD]]) *Master_Ledger_Data[[#This Row],[Estimated_Scope_1_2_Total]]</f>
        <v>3183.6848482052178</v>
      </c>
    </row>
    <row r="45" spans="1:18" x14ac:dyDescent="0.3">
      <c r="A45" s="1" t="s">
        <v>124</v>
      </c>
      <c r="B45" t="s">
        <v>435</v>
      </c>
      <c r="C45" s="1" t="s">
        <v>36</v>
      </c>
      <c r="D45" s="1" t="s">
        <v>28</v>
      </c>
      <c r="E45" s="1" t="s">
        <v>37</v>
      </c>
      <c r="F45">
        <v>211618446.56</v>
      </c>
      <c r="G45" s="2">
        <v>49349</v>
      </c>
      <c r="H45">
        <v>3</v>
      </c>
      <c r="I45" s="1" t="s">
        <v>125</v>
      </c>
      <c r="J45" s="1" t="s">
        <v>22</v>
      </c>
      <c r="K45">
        <v>5708459038.3800001</v>
      </c>
      <c r="L45">
        <v>376018100.17000002</v>
      </c>
      <c r="M45">
        <v>50059.561999999991</v>
      </c>
      <c r="N45">
        <v>280</v>
      </c>
      <c r="O45">
        <v>4</v>
      </c>
      <c r="P45">
        <v>50059.561999999991</v>
      </c>
      <c r="Q45">
        <v>4</v>
      </c>
      <c r="R45">
        <f xml:space="preserve"> (Master_Ledger_Data[[#This Row],[Outstanding_Balance_AUD]]/Master_Ledger_Data[[#This Row],[EVIC_AUD]]) *Master_Ledger_Data[[#This Row],[Estimated_Scope_1_2_Total]]</f>
        <v>1855.7594395772935</v>
      </c>
    </row>
    <row r="46" spans="1:18" x14ac:dyDescent="0.3">
      <c r="A46" s="1" t="s">
        <v>126</v>
      </c>
      <c r="B46" t="s">
        <v>436</v>
      </c>
      <c r="C46" s="1" t="s">
        <v>36</v>
      </c>
      <c r="D46" s="1" t="s">
        <v>28</v>
      </c>
      <c r="E46" s="1" t="s">
        <v>29</v>
      </c>
      <c r="F46">
        <v>172119509.84</v>
      </c>
      <c r="G46" s="2">
        <v>48051</v>
      </c>
      <c r="H46">
        <v>6</v>
      </c>
      <c r="I46" s="1" t="s">
        <v>127</v>
      </c>
      <c r="J46" s="1" t="s">
        <v>22</v>
      </c>
      <c r="K46">
        <v>2020551809.0599999</v>
      </c>
      <c r="L46">
        <v>137637675.59999999</v>
      </c>
      <c r="M46">
        <v>20645.650000000001</v>
      </c>
      <c r="N46">
        <v>280</v>
      </c>
      <c r="O46">
        <v>4</v>
      </c>
      <c r="P46">
        <v>20645.650000000001</v>
      </c>
      <c r="Q46">
        <v>2</v>
      </c>
      <c r="R46">
        <f xml:space="preserve"> (Master_Ledger_Data[[#This Row],[Outstanding_Balance_AUD]]/Master_Ledger_Data[[#This Row],[EVIC_AUD]]) *Master_Ledger_Data[[#This Row],[Estimated_Scope_1_2_Total]]</f>
        <v>1758.6874745772357</v>
      </c>
    </row>
    <row r="47" spans="1:18" x14ac:dyDescent="0.3">
      <c r="A47" s="1" t="s">
        <v>128</v>
      </c>
      <c r="B47" t="s">
        <v>422</v>
      </c>
      <c r="C47" s="1" t="s">
        <v>18</v>
      </c>
      <c r="D47" s="1" t="s">
        <v>19</v>
      </c>
      <c r="E47" s="1" t="s">
        <v>42</v>
      </c>
      <c r="F47">
        <v>261801357.75999999</v>
      </c>
      <c r="G47" s="2">
        <v>49357</v>
      </c>
      <c r="H47">
        <v>4</v>
      </c>
      <c r="I47" s="1" t="s">
        <v>129</v>
      </c>
      <c r="J47" s="1" t="s">
        <v>22</v>
      </c>
      <c r="K47">
        <v>3450119448.5300002</v>
      </c>
      <c r="L47">
        <v>342438094.97000003</v>
      </c>
      <c r="M47">
        <v>6848.76</v>
      </c>
      <c r="N47">
        <v>25</v>
      </c>
      <c r="O47">
        <v>5</v>
      </c>
      <c r="P47">
        <v>6848.76</v>
      </c>
      <c r="Q47">
        <v>2</v>
      </c>
      <c r="R47">
        <f xml:space="preserve"> (Master_Ledger_Data[[#This Row],[Outstanding_Balance_AUD]]/Master_Ledger_Data[[#This Row],[EVIC_AUD]]) *Master_Ledger_Data[[#This Row],[Estimated_Scope_1_2_Total]]</f>
        <v>519.69640289884205</v>
      </c>
    </row>
    <row r="48" spans="1:18" x14ac:dyDescent="0.3">
      <c r="A48" s="1" t="s">
        <v>130</v>
      </c>
      <c r="B48" t="s">
        <v>423</v>
      </c>
      <c r="C48" s="1" t="s">
        <v>27</v>
      </c>
      <c r="D48" s="1" t="s">
        <v>24</v>
      </c>
      <c r="E48" s="1" t="s">
        <v>20</v>
      </c>
      <c r="F48">
        <v>37121662.32</v>
      </c>
      <c r="G48" s="2">
        <v>48542</v>
      </c>
      <c r="H48">
        <v>4</v>
      </c>
      <c r="I48" s="1" t="s">
        <v>131</v>
      </c>
      <c r="J48" s="1" t="s">
        <v>39</v>
      </c>
      <c r="K48">
        <v>211405892.13</v>
      </c>
      <c r="L48">
        <v>52307169.43</v>
      </c>
      <c r="M48">
        <v>7846.08</v>
      </c>
      <c r="N48">
        <v>850</v>
      </c>
      <c r="O48">
        <v>4</v>
      </c>
      <c r="P48">
        <v>7846.08</v>
      </c>
      <c r="Q48">
        <v>2</v>
      </c>
      <c r="R48">
        <f xml:space="preserve"> (Master_Ledger_Data[[#This Row],[Outstanding_Balance_AUD]]/Master_Ledger_Data[[#This Row],[EVIC_AUD]]) *Master_Ledger_Data[[#This Row],[Estimated_Scope_1_2_Total]]</f>
        <v>1377.7266535059539</v>
      </c>
    </row>
    <row r="49" spans="1:18" x14ac:dyDescent="0.3">
      <c r="A49" s="1" t="s">
        <v>132</v>
      </c>
      <c r="B49" t="s">
        <v>424</v>
      </c>
      <c r="C49" s="1" t="s">
        <v>18</v>
      </c>
      <c r="D49" s="1" t="s">
        <v>28</v>
      </c>
      <c r="E49" s="1" t="s">
        <v>37</v>
      </c>
      <c r="F49">
        <v>129632236.43000001</v>
      </c>
      <c r="G49" s="2">
        <v>49510</v>
      </c>
      <c r="H49">
        <v>3</v>
      </c>
      <c r="I49" s="1" t="s">
        <v>129</v>
      </c>
      <c r="J49" s="1" t="s">
        <v>31</v>
      </c>
      <c r="K49">
        <v>1462527307.04</v>
      </c>
      <c r="L49">
        <v>146413873.47</v>
      </c>
      <c r="M49">
        <v>4461.59</v>
      </c>
      <c r="N49">
        <v>25</v>
      </c>
      <c r="O49">
        <v>5</v>
      </c>
      <c r="P49">
        <v>4461.59</v>
      </c>
      <c r="Q49">
        <v>5</v>
      </c>
      <c r="R49">
        <f xml:space="preserve"> (Master_Ledger_Data[[#This Row],[Outstanding_Balance_AUD]]/Master_Ledger_Data[[#This Row],[EVIC_AUD]]) *Master_Ledger_Data[[#This Row],[Estimated_Scope_1_2_Total]]</f>
        <v>395.45647247043536</v>
      </c>
    </row>
    <row r="50" spans="1:18" x14ac:dyDescent="0.3">
      <c r="A50" s="1" t="s">
        <v>133</v>
      </c>
      <c r="B50" t="s">
        <v>425</v>
      </c>
      <c r="C50" s="1" t="s">
        <v>27</v>
      </c>
      <c r="D50" s="1" t="s">
        <v>28</v>
      </c>
      <c r="E50" s="1" t="s">
        <v>20</v>
      </c>
      <c r="F50">
        <v>78303030.329999998</v>
      </c>
      <c r="G50" s="2">
        <v>49052</v>
      </c>
      <c r="H50">
        <v>1</v>
      </c>
      <c r="I50" s="1" t="s">
        <v>134</v>
      </c>
      <c r="J50" s="1" t="s">
        <v>39</v>
      </c>
      <c r="K50">
        <v>262919802.40000001</v>
      </c>
      <c r="L50">
        <v>94911199.840000004</v>
      </c>
      <c r="M50">
        <v>14236.68</v>
      </c>
      <c r="N50">
        <v>850</v>
      </c>
      <c r="O50">
        <v>4</v>
      </c>
      <c r="P50">
        <v>14236.68</v>
      </c>
      <c r="Q50">
        <v>2</v>
      </c>
      <c r="R50">
        <f xml:space="preserve"> (Master_Ledger_Data[[#This Row],[Outstanding_Balance_AUD]]/Master_Ledger_Data[[#This Row],[EVIC_AUD]]) *Master_Ledger_Data[[#This Row],[Estimated_Scope_1_2_Total]]</f>
        <v>4239.9818334813426</v>
      </c>
    </row>
    <row r="51" spans="1:18" x14ac:dyDescent="0.3">
      <c r="A51" s="1" t="s">
        <v>135</v>
      </c>
      <c r="B51" t="s">
        <v>426</v>
      </c>
      <c r="C51" s="1" t="s">
        <v>33</v>
      </c>
      <c r="D51" s="1" t="s">
        <v>28</v>
      </c>
      <c r="E51" s="1" t="s">
        <v>37</v>
      </c>
      <c r="F51">
        <v>306734345.31999999</v>
      </c>
      <c r="G51" s="2">
        <v>46694</v>
      </c>
      <c r="H51">
        <v>6</v>
      </c>
      <c r="I51" s="1" t="s">
        <v>136</v>
      </c>
      <c r="J51" s="1" t="s">
        <v>31</v>
      </c>
      <c r="K51">
        <v>751684059.20000005</v>
      </c>
      <c r="L51">
        <v>538839475.39999998</v>
      </c>
      <c r="M51">
        <v>50221.180256410262</v>
      </c>
      <c r="N51">
        <v>732</v>
      </c>
      <c r="O51">
        <v>4.1760000000000002</v>
      </c>
      <c r="P51">
        <v>50221.180256410262</v>
      </c>
      <c r="Q51">
        <v>3.0759493670886076</v>
      </c>
      <c r="R51">
        <f xml:space="preserve"> (Master_Ledger_Data[[#This Row],[Outstanding_Balance_AUD]]/Master_Ledger_Data[[#This Row],[EVIC_AUD]]) *Master_Ledger_Data[[#This Row],[Estimated_Scope_1_2_Total]]</f>
        <v>20493.39833485684</v>
      </c>
    </row>
    <row r="52" spans="1:18" x14ac:dyDescent="0.3">
      <c r="A52" s="1" t="s">
        <v>137</v>
      </c>
      <c r="B52" t="s">
        <v>427</v>
      </c>
      <c r="C52" s="1" t="s">
        <v>27</v>
      </c>
      <c r="D52" s="1" t="s">
        <v>28</v>
      </c>
      <c r="E52" s="1" t="s">
        <v>42</v>
      </c>
      <c r="F52">
        <v>142929999.80000001</v>
      </c>
      <c r="G52" s="2">
        <v>49349</v>
      </c>
      <c r="H52">
        <v>1</v>
      </c>
      <c r="I52" s="1" t="s">
        <v>138</v>
      </c>
      <c r="J52" s="1" t="s">
        <v>31</v>
      </c>
      <c r="K52">
        <v>1206172282.04</v>
      </c>
      <c r="L52">
        <v>396011107.14999998</v>
      </c>
      <c r="M52">
        <v>31523.905999999999</v>
      </c>
      <c r="N52">
        <v>850</v>
      </c>
      <c r="O52">
        <v>4</v>
      </c>
      <c r="P52">
        <v>31523.905999999999</v>
      </c>
      <c r="Q52">
        <v>4</v>
      </c>
      <c r="R52">
        <f xml:space="preserve"> (Master_Ledger_Data[[#This Row],[Outstanding_Balance_AUD]]/Master_Ledger_Data[[#This Row],[EVIC_AUD]]) *Master_Ledger_Data[[#This Row],[Estimated_Scope_1_2_Total]]</f>
        <v>3735.545863029372</v>
      </c>
    </row>
    <row r="53" spans="1:18" x14ac:dyDescent="0.3">
      <c r="A53" s="1" t="s">
        <v>139</v>
      </c>
      <c r="B53" t="s">
        <v>428</v>
      </c>
      <c r="C53" s="1" t="s">
        <v>48</v>
      </c>
      <c r="D53" s="1" t="s">
        <v>49</v>
      </c>
      <c r="E53" s="1" t="s">
        <v>42</v>
      </c>
      <c r="F53">
        <v>341949198.51999998</v>
      </c>
      <c r="G53" s="2">
        <v>47129</v>
      </c>
      <c r="H53">
        <v>10</v>
      </c>
      <c r="I53" s="1" t="s">
        <v>127</v>
      </c>
      <c r="J53" s="1" t="s">
        <v>31</v>
      </c>
      <c r="K53">
        <v>5279178290.5799999</v>
      </c>
      <c r="L53">
        <v>589394546.99000001</v>
      </c>
      <c r="M53">
        <v>159987.52599999998</v>
      </c>
      <c r="N53">
        <v>1850</v>
      </c>
      <c r="O53">
        <v>4</v>
      </c>
      <c r="P53">
        <v>159987.52599999998</v>
      </c>
      <c r="Q53">
        <v>4</v>
      </c>
      <c r="R53">
        <f xml:space="preserve"> (Master_Ledger_Data[[#This Row],[Outstanding_Balance_AUD]]/Master_Ledger_Data[[#This Row],[EVIC_AUD]]) *Master_Ledger_Data[[#This Row],[Estimated_Scope_1_2_Total]]</f>
        <v>10362.901814950292</v>
      </c>
    </row>
    <row r="54" spans="1:18" x14ac:dyDescent="0.3">
      <c r="A54" s="1" t="s">
        <v>140</v>
      </c>
      <c r="B54" t="s">
        <v>429</v>
      </c>
      <c r="C54" s="1" t="s">
        <v>27</v>
      </c>
      <c r="D54" s="1" t="s">
        <v>24</v>
      </c>
      <c r="E54" s="1" t="s">
        <v>42</v>
      </c>
      <c r="F54">
        <v>278682079.08999997</v>
      </c>
      <c r="G54" s="2">
        <v>48347</v>
      </c>
      <c r="H54">
        <v>4</v>
      </c>
      <c r="I54" s="1" t="s">
        <v>141</v>
      </c>
      <c r="J54" s="1" t="s">
        <v>22</v>
      </c>
      <c r="K54">
        <v>2282105964.1900001</v>
      </c>
      <c r="L54">
        <v>607621369</v>
      </c>
      <c r="M54">
        <v>31523.905999999999</v>
      </c>
      <c r="N54">
        <v>850</v>
      </c>
      <c r="O54">
        <v>4</v>
      </c>
      <c r="P54">
        <v>31523.905999999999</v>
      </c>
      <c r="Q54">
        <v>4</v>
      </c>
      <c r="R54">
        <f xml:space="preserve"> (Master_Ledger_Data[[#This Row],[Outstanding_Balance_AUD]]/Master_Ledger_Data[[#This Row],[EVIC_AUD]]) *Master_Ledger_Data[[#This Row],[Estimated_Scope_1_2_Total]]</f>
        <v>3849.5792057735948</v>
      </c>
    </row>
    <row r="55" spans="1:18" x14ac:dyDescent="0.3">
      <c r="A55" s="1" t="s">
        <v>142</v>
      </c>
      <c r="B55" t="s">
        <v>430</v>
      </c>
      <c r="C55" s="1" t="s">
        <v>45</v>
      </c>
      <c r="D55" s="1" t="s">
        <v>49</v>
      </c>
      <c r="E55" s="1" t="s">
        <v>37</v>
      </c>
      <c r="F55">
        <v>382001709.58999997</v>
      </c>
      <c r="G55" s="2">
        <v>46175</v>
      </c>
      <c r="H55">
        <v>1</v>
      </c>
      <c r="I55" s="1" t="s">
        <v>143</v>
      </c>
      <c r="J55" s="1" t="s">
        <v>39</v>
      </c>
      <c r="K55">
        <v>755612183.36000001</v>
      </c>
      <c r="L55">
        <v>886450580.10000002</v>
      </c>
      <c r="M55">
        <v>132967.59</v>
      </c>
      <c r="N55">
        <v>1136</v>
      </c>
      <c r="O55">
        <v>4</v>
      </c>
      <c r="P55">
        <v>132967.59</v>
      </c>
      <c r="Q55">
        <v>2</v>
      </c>
      <c r="R55">
        <f xml:space="preserve"> (Master_Ledger_Data[[#This Row],[Outstanding_Balance_AUD]]/Master_Ledger_Data[[#This Row],[EVIC_AUD]]) *Master_Ledger_Data[[#This Row],[Estimated_Scope_1_2_Total]]</f>
        <v>67222.11184340078</v>
      </c>
    </row>
    <row r="56" spans="1:18" x14ac:dyDescent="0.3">
      <c r="A56" s="1" t="s">
        <v>144</v>
      </c>
      <c r="B56" t="s">
        <v>431</v>
      </c>
      <c r="C56" s="1" t="s">
        <v>41</v>
      </c>
      <c r="D56" s="1" t="s">
        <v>24</v>
      </c>
      <c r="E56" s="1" t="s">
        <v>29</v>
      </c>
      <c r="F56">
        <v>402554179.41000003</v>
      </c>
      <c r="G56" s="2">
        <v>48984</v>
      </c>
      <c r="H56">
        <v>2</v>
      </c>
      <c r="I56" s="1" t="s">
        <v>145</v>
      </c>
      <c r="J56" s="1" t="s">
        <v>39</v>
      </c>
      <c r="K56">
        <v>510513624.24000001</v>
      </c>
      <c r="L56">
        <v>838852171.82000005</v>
      </c>
      <c r="M56">
        <v>50221.180256410262</v>
      </c>
      <c r="N56">
        <v>732</v>
      </c>
      <c r="O56">
        <v>4.1760000000000002</v>
      </c>
      <c r="P56">
        <v>50221.180256410262</v>
      </c>
      <c r="Q56">
        <v>3.0759493670886076</v>
      </c>
      <c r="R56">
        <f xml:space="preserve"> (Master_Ledger_Data[[#This Row],[Outstanding_Balance_AUD]]/Master_Ledger_Data[[#This Row],[EVIC_AUD]]) *Master_Ledger_Data[[#This Row],[Estimated_Scope_1_2_Total]]</f>
        <v>39600.796231868509</v>
      </c>
    </row>
    <row r="57" spans="1:18" x14ac:dyDescent="0.3">
      <c r="A57" s="1" t="s">
        <v>146</v>
      </c>
      <c r="B57" t="s">
        <v>432</v>
      </c>
      <c r="C57" s="1" t="s">
        <v>27</v>
      </c>
      <c r="D57" s="1" t="s">
        <v>24</v>
      </c>
      <c r="E57" s="1" t="s">
        <v>42</v>
      </c>
      <c r="F57">
        <v>202418099.00999999</v>
      </c>
      <c r="G57" s="2">
        <v>49635</v>
      </c>
      <c r="H57">
        <v>1</v>
      </c>
      <c r="I57" s="1" t="s">
        <v>91</v>
      </c>
      <c r="J57" s="1" t="s">
        <v>39</v>
      </c>
      <c r="K57">
        <v>1653596350.52</v>
      </c>
      <c r="L57">
        <v>523909907.63999999</v>
      </c>
      <c r="M57">
        <v>31523.905999999999</v>
      </c>
      <c r="N57">
        <v>850</v>
      </c>
      <c r="O57">
        <v>4</v>
      </c>
      <c r="P57">
        <v>31523.905999999999</v>
      </c>
      <c r="Q57">
        <v>4</v>
      </c>
      <c r="R57">
        <f xml:space="preserve"> (Master_Ledger_Data[[#This Row],[Outstanding_Balance_AUD]]/Master_Ledger_Data[[#This Row],[EVIC_AUD]]) *Master_Ledger_Data[[#This Row],[Estimated_Scope_1_2_Total]]</f>
        <v>3858.8674460265479</v>
      </c>
    </row>
    <row r="58" spans="1:18" x14ac:dyDescent="0.3">
      <c r="A58" s="1" t="s">
        <v>147</v>
      </c>
      <c r="B58" t="s">
        <v>433</v>
      </c>
      <c r="C58" s="1" t="s">
        <v>80</v>
      </c>
      <c r="D58" s="1" t="s">
        <v>49</v>
      </c>
      <c r="E58" s="1" t="s">
        <v>29</v>
      </c>
      <c r="F58">
        <v>163786132.16</v>
      </c>
      <c r="G58" s="2">
        <v>49450</v>
      </c>
      <c r="H58">
        <v>3</v>
      </c>
      <c r="I58" s="1" t="s">
        <v>148</v>
      </c>
      <c r="J58" s="1" t="s">
        <v>22</v>
      </c>
      <c r="K58">
        <v>1226081919.47</v>
      </c>
      <c r="L58">
        <v>98589072.890000001</v>
      </c>
      <c r="M58">
        <v>985.89</v>
      </c>
      <c r="N58">
        <v>15</v>
      </c>
      <c r="O58">
        <v>4</v>
      </c>
      <c r="P58">
        <v>985.89</v>
      </c>
      <c r="Q58">
        <v>2</v>
      </c>
      <c r="R58">
        <f xml:space="preserve"> (Master_Ledger_Data[[#This Row],[Outstanding_Balance_AUD]]/Master_Ledger_Data[[#This Row],[EVIC_AUD]]) *Master_Ledger_Data[[#This Row],[Estimated_Scope_1_2_Total]]</f>
        <v>131.70009872180762</v>
      </c>
    </row>
    <row r="59" spans="1:18" x14ac:dyDescent="0.3">
      <c r="A59" s="1" t="s">
        <v>149</v>
      </c>
      <c r="B59" t="s">
        <v>434</v>
      </c>
      <c r="C59" s="1" t="s">
        <v>36</v>
      </c>
      <c r="D59" s="1" t="s">
        <v>49</v>
      </c>
      <c r="E59" s="1" t="s">
        <v>29</v>
      </c>
      <c r="F59">
        <v>166349658.06999999</v>
      </c>
      <c r="G59" s="2">
        <v>48008</v>
      </c>
      <c r="H59">
        <v>3</v>
      </c>
      <c r="I59" s="1" t="s">
        <v>60</v>
      </c>
      <c r="J59" s="1" t="s">
        <v>39</v>
      </c>
      <c r="K59">
        <v>1420991029.53</v>
      </c>
      <c r="L59">
        <v>90073278.209999993</v>
      </c>
      <c r="M59">
        <v>50059.561999999991</v>
      </c>
      <c r="N59">
        <v>280</v>
      </c>
      <c r="O59">
        <v>4</v>
      </c>
      <c r="P59">
        <v>50059.561999999991</v>
      </c>
      <c r="Q59">
        <v>4</v>
      </c>
      <c r="R59">
        <f xml:space="preserve"> (Master_Ledger_Data[[#This Row],[Outstanding_Balance_AUD]]/Master_Ledger_Data[[#This Row],[EVIC_AUD]]) *Master_Ledger_Data[[#This Row],[Estimated_Scope_1_2_Total]]</f>
        <v>5860.2699445529151</v>
      </c>
    </row>
    <row r="60" spans="1:18" x14ac:dyDescent="0.3">
      <c r="A60" s="1" t="s">
        <v>150</v>
      </c>
      <c r="B60" t="s">
        <v>435</v>
      </c>
      <c r="C60" s="1" t="s">
        <v>18</v>
      </c>
      <c r="D60" s="1" t="s">
        <v>28</v>
      </c>
      <c r="E60" s="1" t="s">
        <v>42</v>
      </c>
      <c r="F60">
        <v>258486063.86000001</v>
      </c>
      <c r="G60" s="2">
        <v>46199</v>
      </c>
      <c r="H60">
        <v>4</v>
      </c>
      <c r="I60" s="1" t="s">
        <v>151</v>
      </c>
      <c r="J60" s="1" t="s">
        <v>31</v>
      </c>
      <c r="K60">
        <v>4750238052.9399996</v>
      </c>
      <c r="L60">
        <v>546163469.69000006</v>
      </c>
      <c r="M60">
        <v>10923.27</v>
      </c>
      <c r="N60">
        <v>25</v>
      </c>
      <c r="O60">
        <v>5</v>
      </c>
      <c r="P60">
        <v>10923.27</v>
      </c>
      <c r="Q60">
        <v>2</v>
      </c>
      <c r="R60">
        <f xml:space="preserve"> (Master_Ledger_Data[[#This Row],[Outstanding_Balance_AUD]]/Master_Ledger_Data[[#This Row],[EVIC_AUD]]) *Master_Ledger_Data[[#This Row],[Estimated_Scope_1_2_Total]]</f>
        <v>594.39401463943568</v>
      </c>
    </row>
    <row r="61" spans="1:18" x14ac:dyDescent="0.3">
      <c r="A61" s="1" t="s">
        <v>152</v>
      </c>
      <c r="B61" t="s">
        <v>436</v>
      </c>
      <c r="C61" s="1" t="s">
        <v>36</v>
      </c>
      <c r="D61" s="1" t="s">
        <v>49</v>
      </c>
      <c r="E61" s="1" t="s">
        <v>37</v>
      </c>
      <c r="F61">
        <v>52607392.789999999</v>
      </c>
      <c r="G61" s="2">
        <v>46541</v>
      </c>
      <c r="H61">
        <v>1</v>
      </c>
      <c r="I61" s="1" t="s">
        <v>153</v>
      </c>
      <c r="J61" s="1" t="s">
        <v>31</v>
      </c>
      <c r="K61">
        <v>1423156632.78</v>
      </c>
      <c r="L61">
        <v>77166542.069999993</v>
      </c>
      <c r="M61">
        <v>50059.561999999991</v>
      </c>
      <c r="N61">
        <v>280</v>
      </c>
      <c r="O61">
        <v>4</v>
      </c>
      <c r="P61">
        <v>50059.561999999991</v>
      </c>
      <c r="Q61">
        <v>4</v>
      </c>
      <c r="R61">
        <f xml:space="preserve"> (Master_Ledger_Data[[#This Row],[Outstanding_Balance_AUD]]/Master_Ledger_Data[[#This Row],[EVIC_AUD]]) *Master_Ledger_Data[[#This Row],[Estimated_Scope_1_2_Total]]</f>
        <v>1850.4660557882949</v>
      </c>
    </row>
    <row r="62" spans="1:18" x14ac:dyDescent="0.3">
      <c r="A62" s="1" t="s">
        <v>154</v>
      </c>
      <c r="B62" t="s">
        <v>422</v>
      </c>
      <c r="C62" s="1" t="s">
        <v>33</v>
      </c>
      <c r="D62" s="1" t="s">
        <v>19</v>
      </c>
      <c r="E62" s="1" t="s">
        <v>20</v>
      </c>
      <c r="F62">
        <v>261286918.50999999</v>
      </c>
      <c r="G62" s="2">
        <v>48972</v>
      </c>
      <c r="H62">
        <v>1</v>
      </c>
      <c r="I62" s="1" t="s">
        <v>155</v>
      </c>
      <c r="J62" s="1" t="s">
        <v>22</v>
      </c>
      <c r="K62">
        <v>507941767.10000002</v>
      </c>
      <c r="L62">
        <v>353433898.94</v>
      </c>
      <c r="M62">
        <v>53015.08</v>
      </c>
      <c r="N62">
        <v>1136</v>
      </c>
      <c r="O62">
        <v>4</v>
      </c>
      <c r="P62">
        <v>53015.08</v>
      </c>
      <c r="Q62">
        <v>2</v>
      </c>
      <c r="R62">
        <f xml:space="preserve"> (Master_Ledger_Data[[#This Row],[Outstanding_Balance_AUD]]/Master_Ledger_Data[[#This Row],[EVIC_AUD]]) *Master_Ledger_Data[[#This Row],[Estimated_Scope_1_2_Total]]</f>
        <v>27271.131820577415</v>
      </c>
    </row>
    <row r="63" spans="1:18" x14ac:dyDescent="0.3">
      <c r="A63" s="1" t="s">
        <v>156</v>
      </c>
      <c r="B63" t="s">
        <v>423</v>
      </c>
      <c r="C63" s="1" t="s">
        <v>69</v>
      </c>
      <c r="D63" s="1" t="s">
        <v>49</v>
      </c>
      <c r="E63" s="1" t="s">
        <v>29</v>
      </c>
      <c r="F63">
        <v>173827843.77000001</v>
      </c>
      <c r="G63" s="2">
        <v>48573</v>
      </c>
      <c r="H63">
        <v>2</v>
      </c>
      <c r="I63" s="1" t="s">
        <v>157</v>
      </c>
      <c r="J63" s="1" t="s">
        <v>22</v>
      </c>
      <c r="K63">
        <v>1437684182.46</v>
      </c>
      <c r="L63">
        <v>468178942.01999998</v>
      </c>
      <c r="M63">
        <v>70226.84</v>
      </c>
      <c r="N63">
        <v>1136</v>
      </c>
      <c r="O63">
        <v>4</v>
      </c>
      <c r="P63">
        <v>70226.84</v>
      </c>
      <c r="Q63">
        <v>2</v>
      </c>
      <c r="R63">
        <f xml:space="preserve"> (Master_Ledger_Data[[#This Row],[Outstanding_Balance_AUD]]/Master_Ledger_Data[[#This Row],[EVIC_AUD]]) *Master_Ledger_Data[[#This Row],[Estimated_Scope_1_2_Total]]</f>
        <v>8491.0026283331008</v>
      </c>
    </row>
    <row r="64" spans="1:18" x14ac:dyDescent="0.3">
      <c r="A64" s="1" t="s">
        <v>158</v>
      </c>
      <c r="B64" t="s">
        <v>424</v>
      </c>
      <c r="C64" s="1" t="s">
        <v>48</v>
      </c>
      <c r="D64" s="1" t="s">
        <v>49</v>
      </c>
      <c r="E64" s="1" t="s">
        <v>20</v>
      </c>
      <c r="F64">
        <v>273016747.04000002</v>
      </c>
      <c r="G64" s="2">
        <v>49422</v>
      </c>
      <c r="H64">
        <v>3</v>
      </c>
      <c r="I64" s="1" t="s">
        <v>159</v>
      </c>
      <c r="J64" s="1" t="s">
        <v>22</v>
      </c>
      <c r="K64">
        <v>5322202782.8400002</v>
      </c>
      <c r="L64">
        <v>694296740.28999996</v>
      </c>
      <c r="M64">
        <v>159987.52599999998</v>
      </c>
      <c r="N64">
        <v>1850</v>
      </c>
      <c r="O64">
        <v>4</v>
      </c>
      <c r="P64">
        <v>159987.52599999998</v>
      </c>
      <c r="Q64">
        <v>4</v>
      </c>
      <c r="R64">
        <f xml:space="preserve"> (Master_Ledger_Data[[#This Row],[Outstanding_Balance_AUD]]/Master_Ledger_Data[[#This Row],[EVIC_AUD]]) *Master_Ledger_Data[[#This Row],[Estimated_Scope_1_2_Total]]</f>
        <v>8206.9916720064484</v>
      </c>
    </row>
    <row r="65" spans="1:18" x14ac:dyDescent="0.3">
      <c r="A65" s="1" t="s">
        <v>160</v>
      </c>
      <c r="B65" t="s">
        <v>425</v>
      </c>
      <c r="C65" s="1" t="s">
        <v>80</v>
      </c>
      <c r="D65" s="1" t="s">
        <v>24</v>
      </c>
      <c r="E65" s="1" t="s">
        <v>20</v>
      </c>
      <c r="F65">
        <v>331692102.79000002</v>
      </c>
      <c r="G65" s="2">
        <v>48446</v>
      </c>
      <c r="H65">
        <v>9</v>
      </c>
      <c r="I65" s="1" t="s">
        <v>161</v>
      </c>
      <c r="J65" s="1" t="s">
        <v>39</v>
      </c>
      <c r="K65">
        <v>3681154459.9400001</v>
      </c>
      <c r="L65">
        <v>366397288.73000002</v>
      </c>
      <c r="M65">
        <v>3663.97</v>
      </c>
      <c r="N65">
        <v>15</v>
      </c>
      <c r="O65">
        <v>4</v>
      </c>
      <c r="P65">
        <v>3663.97</v>
      </c>
      <c r="Q65">
        <v>2</v>
      </c>
      <c r="R65">
        <f xml:space="preserve"> (Master_Ledger_Data[[#This Row],[Outstanding_Balance_AUD]]/Master_Ledger_Data[[#This Row],[EVIC_AUD]]) *Master_Ledger_Data[[#This Row],[Estimated_Scope_1_2_Total]]</f>
        <v>330.14368918366029</v>
      </c>
    </row>
    <row r="66" spans="1:18" x14ac:dyDescent="0.3">
      <c r="A66" s="1" t="s">
        <v>162</v>
      </c>
      <c r="B66" t="s">
        <v>426</v>
      </c>
      <c r="C66" s="1" t="s">
        <v>66</v>
      </c>
      <c r="D66" s="1" t="s">
        <v>19</v>
      </c>
      <c r="E66" s="1" t="s">
        <v>29</v>
      </c>
      <c r="F66">
        <v>134110441.54000001</v>
      </c>
      <c r="G66" s="2">
        <v>48997</v>
      </c>
      <c r="H66">
        <v>5</v>
      </c>
      <c r="I66" s="1" t="s">
        <v>163</v>
      </c>
      <c r="J66" s="1" t="s">
        <v>39</v>
      </c>
      <c r="K66">
        <v>2448095995.6799998</v>
      </c>
      <c r="L66">
        <v>368943878.81</v>
      </c>
      <c r="M66">
        <v>56434.683999999994</v>
      </c>
      <c r="N66">
        <v>1200</v>
      </c>
      <c r="O66">
        <v>4</v>
      </c>
      <c r="P66">
        <v>56434.683999999994</v>
      </c>
      <c r="Q66">
        <v>4</v>
      </c>
      <c r="R66">
        <f xml:space="preserve"> (Master_Ledger_Data[[#This Row],[Outstanding_Balance_AUD]]/Master_Ledger_Data[[#This Row],[EVIC_AUD]]) *Master_Ledger_Data[[#This Row],[Estimated_Scope_1_2_Total]]</f>
        <v>3091.5782725701897</v>
      </c>
    </row>
    <row r="67" spans="1:18" x14ac:dyDescent="0.3">
      <c r="A67" s="1" t="s">
        <v>164</v>
      </c>
      <c r="B67" t="s">
        <v>427</v>
      </c>
      <c r="C67" s="1" t="s">
        <v>69</v>
      </c>
      <c r="D67" s="1" t="s">
        <v>49</v>
      </c>
      <c r="E67" s="1" t="s">
        <v>42</v>
      </c>
      <c r="F67">
        <v>441904989.88</v>
      </c>
      <c r="G67" s="2">
        <v>49115</v>
      </c>
      <c r="H67">
        <v>9</v>
      </c>
      <c r="I67" s="1" t="s">
        <v>165</v>
      </c>
      <c r="J67" s="1" t="s">
        <v>39</v>
      </c>
      <c r="K67">
        <v>2249389755.3099999</v>
      </c>
      <c r="L67">
        <v>606746128.77999997</v>
      </c>
      <c r="M67">
        <v>91011.92</v>
      </c>
      <c r="N67">
        <v>1136</v>
      </c>
      <c r="O67">
        <v>4</v>
      </c>
      <c r="P67">
        <v>91011.92</v>
      </c>
      <c r="Q67">
        <v>2</v>
      </c>
      <c r="R67">
        <f xml:space="preserve"> (Master_Ledger_Data[[#This Row],[Outstanding_Balance_AUD]]/Master_Ledger_Data[[#This Row],[EVIC_AUD]]) *Master_Ledger_Data[[#This Row],[Estimated_Scope_1_2_Total]]</f>
        <v>17879.792282159051</v>
      </c>
    </row>
    <row r="68" spans="1:18" x14ac:dyDescent="0.3">
      <c r="A68" s="1" t="s">
        <v>166</v>
      </c>
      <c r="B68" t="s">
        <v>428</v>
      </c>
      <c r="C68" s="1" t="s">
        <v>48</v>
      </c>
      <c r="D68" s="1" t="s">
        <v>19</v>
      </c>
      <c r="E68" s="1" t="s">
        <v>20</v>
      </c>
      <c r="F68">
        <v>177858739.43000001</v>
      </c>
      <c r="G68" s="2">
        <v>48916</v>
      </c>
      <c r="H68">
        <v>3</v>
      </c>
      <c r="I68" s="1" t="s">
        <v>167</v>
      </c>
      <c r="J68" s="1" t="s">
        <v>31</v>
      </c>
      <c r="K68">
        <v>4031121597.3099999</v>
      </c>
      <c r="L68">
        <v>483369552.68000001</v>
      </c>
      <c r="M68">
        <v>241684.78</v>
      </c>
      <c r="N68">
        <v>1850</v>
      </c>
      <c r="O68">
        <v>4</v>
      </c>
      <c r="P68">
        <v>241684.78</v>
      </c>
      <c r="Q68">
        <v>2</v>
      </c>
      <c r="R68">
        <f xml:space="preserve"> (Master_Ledger_Data[[#This Row],[Outstanding_Balance_AUD]]/Master_Ledger_Data[[#This Row],[EVIC_AUD]]) *Master_Ledger_Data[[#This Row],[Estimated_Scope_1_2_Total]]</f>
        <v>10663.471510981364</v>
      </c>
    </row>
    <row r="69" spans="1:18" x14ac:dyDescent="0.3">
      <c r="A69" s="1" t="s">
        <v>168</v>
      </c>
      <c r="B69" t="s">
        <v>429</v>
      </c>
      <c r="C69" s="1" t="s">
        <v>27</v>
      </c>
      <c r="D69" s="1" t="s">
        <v>49</v>
      </c>
      <c r="E69" s="1" t="s">
        <v>20</v>
      </c>
      <c r="F69">
        <v>444107780.00999999</v>
      </c>
      <c r="G69" s="2">
        <v>49244</v>
      </c>
      <c r="H69">
        <v>1</v>
      </c>
      <c r="I69" s="1" t="s">
        <v>169</v>
      </c>
      <c r="J69" s="1" t="s">
        <v>31</v>
      </c>
      <c r="K69">
        <v>927429106.47000003</v>
      </c>
      <c r="L69">
        <v>315471922.67000002</v>
      </c>
      <c r="M69">
        <v>47320.79</v>
      </c>
      <c r="N69">
        <v>850</v>
      </c>
      <c r="O69">
        <v>4</v>
      </c>
      <c r="P69">
        <v>47320.79</v>
      </c>
      <c r="Q69">
        <v>2</v>
      </c>
      <c r="R69">
        <f xml:space="preserve"> (Master_Ledger_Data[[#This Row],[Outstanding_Balance_AUD]]/Master_Ledger_Data[[#This Row],[EVIC_AUD]]) *Master_Ledger_Data[[#This Row],[Estimated_Scope_1_2_Total]]</f>
        <v>22659.986459999254</v>
      </c>
    </row>
    <row r="70" spans="1:18" x14ac:dyDescent="0.3">
      <c r="A70" s="1" t="s">
        <v>170</v>
      </c>
      <c r="B70" t="s">
        <v>430</v>
      </c>
      <c r="C70" s="1" t="s">
        <v>45</v>
      </c>
      <c r="D70" s="1" t="s">
        <v>19</v>
      </c>
      <c r="E70" s="1" t="s">
        <v>29</v>
      </c>
      <c r="F70">
        <v>46649282.670000002</v>
      </c>
      <c r="G70" s="2">
        <v>47496</v>
      </c>
      <c r="H70">
        <v>6</v>
      </c>
      <c r="I70" s="1" t="s">
        <v>171</v>
      </c>
      <c r="J70" s="1" t="s">
        <v>22</v>
      </c>
      <c r="K70">
        <v>68026195.170000002</v>
      </c>
      <c r="L70">
        <v>94048342.890000001</v>
      </c>
      <c r="M70">
        <v>50221.180256410262</v>
      </c>
      <c r="N70">
        <v>732</v>
      </c>
      <c r="O70">
        <v>4.1760000000000002</v>
      </c>
      <c r="P70">
        <v>50221.180256410262</v>
      </c>
      <c r="Q70">
        <v>3.0759493670886076</v>
      </c>
      <c r="R70">
        <f xml:space="preserve"> (Master_Ledger_Data[[#This Row],[Outstanding_Balance_AUD]]/Master_Ledger_Data[[#This Row],[EVIC_AUD]]) *Master_Ledger_Data[[#This Row],[Estimated_Scope_1_2_Total]]</f>
        <v>34439.410111760713</v>
      </c>
    </row>
    <row r="71" spans="1:18" x14ac:dyDescent="0.3">
      <c r="A71" s="1" t="s">
        <v>172</v>
      </c>
      <c r="B71" t="s">
        <v>431</v>
      </c>
      <c r="C71" s="1" t="s">
        <v>45</v>
      </c>
      <c r="D71" s="1" t="s">
        <v>19</v>
      </c>
      <c r="E71" s="1" t="s">
        <v>42</v>
      </c>
      <c r="F71">
        <v>305182384.52999997</v>
      </c>
      <c r="G71" s="2">
        <v>49351</v>
      </c>
      <c r="H71">
        <v>9</v>
      </c>
      <c r="I71" s="1" t="s">
        <v>95</v>
      </c>
      <c r="J71" s="1" t="s">
        <v>22</v>
      </c>
      <c r="K71">
        <v>475546423</v>
      </c>
      <c r="L71">
        <v>658813822.36000001</v>
      </c>
      <c r="M71">
        <v>50221.180256410262</v>
      </c>
      <c r="N71">
        <v>732</v>
      </c>
      <c r="O71">
        <v>4.1760000000000002</v>
      </c>
      <c r="P71">
        <v>50221.180256410262</v>
      </c>
      <c r="Q71">
        <v>3.0759493670886076</v>
      </c>
      <c r="R71">
        <f xml:space="preserve"> (Master_Ledger_Data[[#This Row],[Outstanding_Balance_AUD]]/Master_Ledger_Data[[#This Row],[EVIC_AUD]]) *Master_Ledger_Data[[#This Row],[Estimated_Scope_1_2_Total]]</f>
        <v>32229.49180833653</v>
      </c>
    </row>
    <row r="72" spans="1:18" x14ac:dyDescent="0.3">
      <c r="A72" s="1" t="s">
        <v>173</v>
      </c>
      <c r="B72" t="s">
        <v>432</v>
      </c>
      <c r="C72" s="1" t="s">
        <v>18</v>
      </c>
      <c r="D72" s="1" t="s">
        <v>28</v>
      </c>
      <c r="E72" s="1" t="s">
        <v>20</v>
      </c>
      <c r="F72">
        <v>486963599.19</v>
      </c>
      <c r="G72" s="2">
        <v>49014</v>
      </c>
      <c r="H72">
        <v>2</v>
      </c>
      <c r="I72" s="1" t="s">
        <v>174</v>
      </c>
      <c r="J72" s="1" t="s">
        <v>22</v>
      </c>
      <c r="K72">
        <v>9814814120.7600002</v>
      </c>
      <c r="L72">
        <v>911515252.25999999</v>
      </c>
      <c r="M72">
        <v>18230.310000000001</v>
      </c>
      <c r="N72">
        <v>25</v>
      </c>
      <c r="O72">
        <v>5</v>
      </c>
      <c r="P72">
        <v>18230.310000000001</v>
      </c>
      <c r="Q72">
        <v>2</v>
      </c>
      <c r="R72">
        <f xml:space="preserve"> (Master_Ledger_Data[[#This Row],[Outstanding_Balance_AUD]]/Master_Ledger_Data[[#This Row],[EVIC_AUD]]) *Master_Ledger_Data[[#This Row],[Estimated_Scope_1_2_Total]]</f>
        <v>904.49979619807914</v>
      </c>
    </row>
    <row r="73" spans="1:18" x14ac:dyDescent="0.3">
      <c r="A73" s="1" t="s">
        <v>175</v>
      </c>
      <c r="B73" t="s">
        <v>433</v>
      </c>
      <c r="C73" s="1" t="s">
        <v>69</v>
      </c>
      <c r="D73" s="1" t="s">
        <v>24</v>
      </c>
      <c r="E73" s="1" t="s">
        <v>29</v>
      </c>
      <c r="F73">
        <v>347488122.86000001</v>
      </c>
      <c r="G73" s="2">
        <v>47009</v>
      </c>
      <c r="H73">
        <v>9</v>
      </c>
      <c r="I73" s="1" t="s">
        <v>176</v>
      </c>
      <c r="J73" s="1" t="s">
        <v>22</v>
      </c>
      <c r="K73">
        <v>1359498972.29</v>
      </c>
      <c r="L73">
        <v>368571364.82999998</v>
      </c>
      <c r="M73">
        <v>50221.180256410262</v>
      </c>
      <c r="N73">
        <v>732</v>
      </c>
      <c r="O73">
        <v>4.1760000000000002</v>
      </c>
      <c r="P73">
        <v>50221.180256410262</v>
      </c>
      <c r="Q73">
        <v>3.0759493670886076</v>
      </c>
      <c r="R73">
        <f xml:space="preserve"> (Master_Ledger_Data[[#This Row],[Outstanding_Balance_AUD]]/Master_Ledger_Data[[#This Row],[EVIC_AUD]]) *Master_Ledger_Data[[#This Row],[Estimated_Scope_1_2_Total]]</f>
        <v>12836.540527660729</v>
      </c>
    </row>
    <row r="74" spans="1:18" x14ac:dyDescent="0.3">
      <c r="A74" s="1" t="s">
        <v>177</v>
      </c>
      <c r="B74" t="s">
        <v>434</v>
      </c>
      <c r="C74" s="1" t="s">
        <v>45</v>
      </c>
      <c r="D74" s="1" t="s">
        <v>28</v>
      </c>
      <c r="E74" s="1" t="s">
        <v>37</v>
      </c>
      <c r="F74">
        <v>13947304.99</v>
      </c>
      <c r="G74" s="2">
        <v>46450</v>
      </c>
      <c r="H74">
        <v>5</v>
      </c>
      <c r="I74" s="1" t="s">
        <v>178</v>
      </c>
      <c r="J74" s="1" t="s">
        <v>22</v>
      </c>
      <c r="K74">
        <v>18113437.23</v>
      </c>
      <c r="L74">
        <v>18319774.579999998</v>
      </c>
      <c r="M74">
        <v>2747.97</v>
      </c>
      <c r="N74">
        <v>1850</v>
      </c>
      <c r="O74">
        <v>4</v>
      </c>
      <c r="P74">
        <v>2747.97</v>
      </c>
      <c r="Q74">
        <v>2</v>
      </c>
      <c r="R74">
        <f xml:space="preserve"> (Master_Ledger_Data[[#This Row],[Outstanding_Balance_AUD]]/Master_Ledger_Data[[#This Row],[EVIC_AUD]]) *Master_Ledger_Data[[#This Row],[Estimated_Scope_1_2_Total]]</f>
        <v>2115.9305772121693</v>
      </c>
    </row>
    <row r="75" spans="1:18" x14ac:dyDescent="0.3">
      <c r="A75" s="1" t="s">
        <v>179</v>
      </c>
      <c r="B75" t="s">
        <v>435</v>
      </c>
      <c r="C75" s="1" t="s">
        <v>80</v>
      </c>
      <c r="D75" s="1" t="s">
        <v>19</v>
      </c>
      <c r="E75" s="1" t="s">
        <v>42</v>
      </c>
      <c r="F75">
        <v>374513245.52999997</v>
      </c>
      <c r="G75" s="2">
        <v>47972</v>
      </c>
      <c r="H75">
        <v>8</v>
      </c>
      <c r="I75" s="1" t="s">
        <v>180</v>
      </c>
      <c r="J75" s="1" t="s">
        <v>31</v>
      </c>
      <c r="K75">
        <v>12531646114.620001</v>
      </c>
      <c r="L75">
        <v>982370161.88</v>
      </c>
      <c r="M75">
        <v>6167.4220000000005</v>
      </c>
      <c r="N75">
        <v>15</v>
      </c>
      <c r="O75">
        <v>4</v>
      </c>
      <c r="P75">
        <v>6167.4220000000005</v>
      </c>
      <c r="Q75">
        <v>4</v>
      </c>
      <c r="R75">
        <f xml:space="preserve"> (Master_Ledger_Data[[#This Row],[Outstanding_Balance_AUD]]/Master_Ledger_Data[[#This Row],[EVIC_AUD]]) *Master_Ledger_Data[[#This Row],[Estimated_Scope_1_2_Total]]</f>
        <v>184.31586789531389</v>
      </c>
    </row>
    <row r="76" spans="1:18" x14ac:dyDescent="0.3">
      <c r="A76" s="1" t="s">
        <v>181</v>
      </c>
      <c r="B76" t="s">
        <v>436</v>
      </c>
      <c r="C76" s="1" t="s">
        <v>41</v>
      </c>
      <c r="D76" s="1" t="s">
        <v>19</v>
      </c>
      <c r="E76" s="1" t="s">
        <v>29</v>
      </c>
      <c r="F76">
        <v>361865262.5</v>
      </c>
      <c r="G76" s="2">
        <v>46692</v>
      </c>
      <c r="H76">
        <v>1</v>
      </c>
      <c r="I76" s="1" t="s">
        <v>182</v>
      </c>
      <c r="J76" s="1" t="s">
        <v>22</v>
      </c>
      <c r="K76">
        <v>398051788.75</v>
      </c>
      <c r="L76">
        <v>265676742.37</v>
      </c>
      <c r="M76">
        <v>50221.180256410262</v>
      </c>
      <c r="N76">
        <v>732</v>
      </c>
      <c r="O76">
        <v>4.1760000000000002</v>
      </c>
      <c r="P76">
        <v>50221.180256410262</v>
      </c>
      <c r="Q76">
        <v>3.0759493670886076</v>
      </c>
      <c r="R76">
        <f xml:space="preserve"> (Master_Ledger_Data[[#This Row],[Outstanding_Balance_AUD]]/Master_Ledger_Data[[#This Row],[EVIC_AUD]]) *Master_Ledger_Data[[#This Row],[Estimated_Scope_1_2_Total]]</f>
        <v>45655.618414918419</v>
      </c>
    </row>
    <row r="77" spans="1:18" x14ac:dyDescent="0.3">
      <c r="A77" s="1" t="s">
        <v>183</v>
      </c>
      <c r="B77" t="s">
        <v>422</v>
      </c>
      <c r="C77" s="1" t="s">
        <v>66</v>
      </c>
      <c r="D77" s="1" t="s">
        <v>49</v>
      </c>
      <c r="E77" s="1" t="s">
        <v>37</v>
      </c>
      <c r="F77">
        <v>51369010.07</v>
      </c>
      <c r="G77" s="2">
        <v>46522</v>
      </c>
      <c r="H77">
        <v>7</v>
      </c>
      <c r="I77" s="1" t="s">
        <v>184</v>
      </c>
      <c r="J77" s="1" t="s">
        <v>22</v>
      </c>
      <c r="K77">
        <v>427180123.32999998</v>
      </c>
      <c r="L77">
        <v>57018271.149999999</v>
      </c>
      <c r="M77">
        <v>56434.683999999994</v>
      </c>
      <c r="N77">
        <v>1200</v>
      </c>
      <c r="O77">
        <v>4</v>
      </c>
      <c r="P77">
        <v>56434.683999999994</v>
      </c>
      <c r="Q77">
        <v>4</v>
      </c>
      <c r="R77">
        <f xml:space="preserve"> (Master_Ledger_Data[[#This Row],[Outstanding_Balance_AUD]]/Master_Ledger_Data[[#This Row],[EVIC_AUD]]) *Master_Ledger_Data[[#This Row],[Estimated_Scope_1_2_Total]]</f>
        <v>6786.3500485339118</v>
      </c>
    </row>
    <row r="78" spans="1:18" x14ac:dyDescent="0.3">
      <c r="A78" s="1" t="s">
        <v>185</v>
      </c>
      <c r="B78" t="s">
        <v>423</v>
      </c>
      <c r="C78" s="1" t="s">
        <v>69</v>
      </c>
      <c r="D78" s="1" t="s">
        <v>28</v>
      </c>
      <c r="E78" s="1" t="s">
        <v>37</v>
      </c>
      <c r="F78">
        <v>125774873.47</v>
      </c>
      <c r="G78" s="2">
        <v>48138</v>
      </c>
      <c r="H78">
        <v>6</v>
      </c>
      <c r="I78" s="1" t="s">
        <v>186</v>
      </c>
      <c r="J78" s="1" t="s">
        <v>31</v>
      </c>
      <c r="K78">
        <v>1228733473.47</v>
      </c>
      <c r="L78">
        <v>343380043.25</v>
      </c>
      <c r="M78">
        <v>51507.01</v>
      </c>
      <c r="N78">
        <v>1136</v>
      </c>
      <c r="O78">
        <v>4</v>
      </c>
      <c r="P78">
        <v>51507.01</v>
      </c>
      <c r="Q78">
        <v>2</v>
      </c>
      <c r="R78">
        <f xml:space="preserve"> (Master_Ledger_Data[[#This Row],[Outstanding_Balance_AUD]]/Master_Ledger_Data[[#This Row],[EVIC_AUD]]) *Master_Ledger_Data[[#This Row],[Estimated_Scope_1_2_Total]]</f>
        <v>5272.3294395757293</v>
      </c>
    </row>
    <row r="79" spans="1:18" x14ac:dyDescent="0.3">
      <c r="A79" s="1" t="s">
        <v>187</v>
      </c>
      <c r="B79" t="s">
        <v>424</v>
      </c>
      <c r="C79" s="1" t="s">
        <v>45</v>
      </c>
      <c r="D79" s="1" t="s">
        <v>28</v>
      </c>
      <c r="E79" s="1" t="s">
        <v>29</v>
      </c>
      <c r="F79">
        <v>245937365.71000001</v>
      </c>
      <c r="G79" s="2">
        <v>47852</v>
      </c>
      <c r="H79">
        <v>2</v>
      </c>
      <c r="I79" s="1" t="s">
        <v>188</v>
      </c>
      <c r="J79" s="1" t="s">
        <v>31</v>
      </c>
      <c r="K79">
        <v>400771028.92000002</v>
      </c>
      <c r="L79">
        <v>432011789.31999999</v>
      </c>
      <c r="M79">
        <v>50221.180256410262</v>
      </c>
      <c r="N79">
        <v>732</v>
      </c>
      <c r="O79">
        <v>4.1760000000000002</v>
      </c>
      <c r="P79">
        <v>50221.180256410262</v>
      </c>
      <c r="Q79">
        <v>3.0759493670886076</v>
      </c>
      <c r="R79">
        <f xml:space="preserve"> (Master_Ledger_Data[[#This Row],[Outstanding_Balance_AUD]]/Master_Ledger_Data[[#This Row],[EVIC_AUD]]) *Master_Ledger_Data[[#This Row],[Estimated_Scope_1_2_Total]]</f>
        <v>30818.756556313114</v>
      </c>
    </row>
    <row r="80" spans="1:18" x14ac:dyDescent="0.3">
      <c r="A80" s="1" t="s">
        <v>189</v>
      </c>
      <c r="B80" t="s">
        <v>425</v>
      </c>
      <c r="C80" s="1" t="s">
        <v>18</v>
      </c>
      <c r="D80" s="1" t="s">
        <v>19</v>
      </c>
      <c r="E80" s="1" t="s">
        <v>29</v>
      </c>
      <c r="F80">
        <v>253805361.09</v>
      </c>
      <c r="G80" s="2">
        <v>48384</v>
      </c>
      <c r="H80">
        <v>1</v>
      </c>
      <c r="I80" s="1" t="s">
        <v>190</v>
      </c>
      <c r="J80" s="1" t="s">
        <v>31</v>
      </c>
      <c r="K80">
        <v>2731022101.4899998</v>
      </c>
      <c r="L80">
        <v>250786973.09</v>
      </c>
      <c r="M80">
        <v>4461.59</v>
      </c>
      <c r="N80">
        <v>25</v>
      </c>
      <c r="O80">
        <v>5</v>
      </c>
      <c r="P80">
        <v>4461.59</v>
      </c>
      <c r="Q80">
        <v>5</v>
      </c>
      <c r="R80">
        <f xml:space="preserve"> (Master_Ledger_Data[[#This Row],[Outstanding_Balance_AUD]]/Master_Ledger_Data[[#This Row],[EVIC_AUD]]) *Master_Ledger_Data[[#This Row],[Estimated_Scope_1_2_Total]]</f>
        <v>414.63430865965091</v>
      </c>
    </row>
    <row r="81" spans="1:18" x14ac:dyDescent="0.3">
      <c r="A81" s="1" t="s">
        <v>191</v>
      </c>
      <c r="B81" t="s">
        <v>426</v>
      </c>
      <c r="C81" s="1" t="s">
        <v>48</v>
      </c>
      <c r="D81" s="1" t="s">
        <v>19</v>
      </c>
      <c r="E81" s="1" t="s">
        <v>42</v>
      </c>
      <c r="F81">
        <v>118941707.78</v>
      </c>
      <c r="G81" s="2">
        <v>46868</v>
      </c>
      <c r="H81">
        <v>3</v>
      </c>
      <c r="I81" s="1" t="s">
        <v>192</v>
      </c>
      <c r="J81" s="1" t="s">
        <v>22</v>
      </c>
      <c r="K81">
        <v>529369405.69</v>
      </c>
      <c r="L81">
        <v>66701310.32</v>
      </c>
      <c r="M81">
        <v>159987.52599999998</v>
      </c>
      <c r="N81">
        <v>1850</v>
      </c>
      <c r="O81">
        <v>4</v>
      </c>
      <c r="P81">
        <v>159987.52599999998</v>
      </c>
      <c r="Q81">
        <v>4</v>
      </c>
      <c r="R81">
        <f xml:space="preserve"> (Master_Ledger_Data[[#This Row],[Outstanding_Balance_AUD]]/Master_Ledger_Data[[#This Row],[EVIC_AUD]]) *Master_Ledger_Data[[#This Row],[Estimated_Scope_1_2_Total]]</f>
        <v>35946.900900201792</v>
      </c>
    </row>
    <row r="82" spans="1:18" x14ac:dyDescent="0.3">
      <c r="A82" s="1" t="s">
        <v>193</v>
      </c>
      <c r="B82" t="s">
        <v>427</v>
      </c>
      <c r="C82" s="1" t="s">
        <v>66</v>
      </c>
      <c r="D82" s="1" t="s">
        <v>49</v>
      </c>
      <c r="E82" s="1" t="s">
        <v>29</v>
      </c>
      <c r="F82">
        <v>17036403.379999999</v>
      </c>
      <c r="G82" s="2">
        <v>49173</v>
      </c>
      <c r="H82">
        <v>1</v>
      </c>
      <c r="I82" s="1" t="s">
        <v>194</v>
      </c>
      <c r="J82" s="1" t="s">
        <v>39</v>
      </c>
      <c r="K82">
        <v>361574648.63</v>
      </c>
      <c r="L82">
        <v>48573281.200000003</v>
      </c>
      <c r="M82">
        <v>7285.99</v>
      </c>
      <c r="N82">
        <v>1200</v>
      </c>
      <c r="O82">
        <v>4</v>
      </c>
      <c r="P82">
        <v>7285.99</v>
      </c>
      <c r="Q82">
        <v>2</v>
      </c>
      <c r="R82">
        <f xml:space="preserve"> (Master_Ledger_Data[[#This Row],[Outstanding_Balance_AUD]]/Master_Ledger_Data[[#This Row],[EVIC_AUD]]) *Master_Ledger_Data[[#This Row],[Estimated_Scope_1_2_Total]]</f>
        <v>343.29581770448084</v>
      </c>
    </row>
    <row r="83" spans="1:18" x14ac:dyDescent="0.3">
      <c r="A83" s="1" t="s">
        <v>195</v>
      </c>
      <c r="B83" t="s">
        <v>428</v>
      </c>
      <c r="C83" s="1" t="s">
        <v>69</v>
      </c>
      <c r="D83" s="1" t="s">
        <v>24</v>
      </c>
      <c r="E83" s="1" t="s">
        <v>37</v>
      </c>
      <c r="F83">
        <v>470526999.25</v>
      </c>
      <c r="G83" s="2">
        <v>48577</v>
      </c>
      <c r="H83">
        <v>5</v>
      </c>
      <c r="I83" s="1" t="s">
        <v>196</v>
      </c>
      <c r="J83" s="1" t="s">
        <v>22</v>
      </c>
      <c r="K83">
        <v>1838368948.02</v>
      </c>
      <c r="L83">
        <v>670687655.82000005</v>
      </c>
      <c r="M83">
        <v>100603.15</v>
      </c>
      <c r="N83">
        <v>1136</v>
      </c>
      <c r="O83">
        <v>4</v>
      </c>
      <c r="P83">
        <v>100603.15</v>
      </c>
      <c r="Q83">
        <v>2</v>
      </c>
      <c r="R83">
        <f xml:space="preserve"> (Master_Ledger_Data[[#This Row],[Outstanding_Balance_AUD]]/Master_Ledger_Data[[#This Row],[EVIC_AUD]]) *Master_Ledger_Data[[#This Row],[Estimated_Scope_1_2_Total]]</f>
        <v>25749.182902366261</v>
      </c>
    </row>
    <row r="84" spans="1:18" x14ac:dyDescent="0.3">
      <c r="A84" s="1" t="s">
        <v>197</v>
      </c>
      <c r="B84" t="s">
        <v>429</v>
      </c>
      <c r="C84" s="1" t="s">
        <v>69</v>
      </c>
      <c r="D84" s="1" t="s">
        <v>19</v>
      </c>
      <c r="E84" s="1" t="s">
        <v>37</v>
      </c>
      <c r="F84">
        <v>188228556.63</v>
      </c>
      <c r="G84" s="2">
        <v>47821</v>
      </c>
      <c r="H84">
        <v>5</v>
      </c>
      <c r="I84" s="1" t="s">
        <v>198</v>
      </c>
      <c r="J84" s="1" t="s">
        <v>31</v>
      </c>
      <c r="K84">
        <v>1192664849.28</v>
      </c>
      <c r="L84">
        <v>295605488.83999997</v>
      </c>
      <c r="M84">
        <v>44340.82</v>
      </c>
      <c r="N84">
        <v>1136</v>
      </c>
      <c r="O84">
        <v>4</v>
      </c>
      <c r="P84">
        <v>44340.82</v>
      </c>
      <c r="Q84">
        <v>2</v>
      </c>
      <c r="R84">
        <f xml:space="preserve"> (Master_Ledger_Data[[#This Row],[Outstanding_Balance_AUD]]/Master_Ledger_Data[[#This Row],[EVIC_AUD]]) *Master_Ledger_Data[[#This Row],[Estimated_Scope_1_2_Total]]</f>
        <v>6997.9496364206252</v>
      </c>
    </row>
    <row r="85" spans="1:18" x14ac:dyDescent="0.3">
      <c r="A85" s="1" t="s">
        <v>199</v>
      </c>
      <c r="B85" t="s">
        <v>430</v>
      </c>
      <c r="C85" s="1" t="s">
        <v>36</v>
      </c>
      <c r="D85" s="1" t="s">
        <v>24</v>
      </c>
      <c r="E85" s="1" t="s">
        <v>42</v>
      </c>
      <c r="F85">
        <v>168721400.81</v>
      </c>
      <c r="G85" s="2">
        <v>46354</v>
      </c>
      <c r="H85">
        <v>5</v>
      </c>
      <c r="I85" s="1" t="s">
        <v>200</v>
      </c>
      <c r="J85" s="1" t="s">
        <v>39</v>
      </c>
      <c r="K85">
        <v>6400007519.2299995</v>
      </c>
      <c r="L85">
        <v>444163075.98000002</v>
      </c>
      <c r="M85">
        <v>50059.561999999991</v>
      </c>
      <c r="N85">
        <v>280</v>
      </c>
      <c r="O85">
        <v>4</v>
      </c>
      <c r="P85">
        <v>50059.561999999991</v>
      </c>
      <c r="Q85">
        <v>4</v>
      </c>
      <c r="R85">
        <f xml:space="preserve"> (Master_Ledger_Data[[#This Row],[Outstanding_Balance_AUD]]/Master_Ledger_Data[[#This Row],[EVIC_AUD]]) *Master_Ledger_Data[[#This Row],[Estimated_Scope_1_2_Total]]</f>
        <v>1319.7046095957114</v>
      </c>
    </row>
    <row r="86" spans="1:18" x14ac:dyDescent="0.3">
      <c r="A86" s="1" t="s">
        <v>201</v>
      </c>
      <c r="B86" t="s">
        <v>431</v>
      </c>
      <c r="C86" s="1" t="s">
        <v>80</v>
      </c>
      <c r="D86" s="1" t="s">
        <v>19</v>
      </c>
      <c r="E86" s="1" t="s">
        <v>29</v>
      </c>
      <c r="F86">
        <v>481991888.66000003</v>
      </c>
      <c r="G86" s="2">
        <v>47045</v>
      </c>
      <c r="H86">
        <v>4</v>
      </c>
      <c r="I86" s="1" t="s">
        <v>202</v>
      </c>
      <c r="J86" s="1" t="s">
        <v>22</v>
      </c>
      <c r="K86">
        <v>14086126291.639999</v>
      </c>
      <c r="L86">
        <v>1266598373.8599999</v>
      </c>
      <c r="M86">
        <v>6167.4220000000005</v>
      </c>
      <c r="N86">
        <v>15</v>
      </c>
      <c r="O86">
        <v>4</v>
      </c>
      <c r="P86">
        <v>6167.4220000000005</v>
      </c>
      <c r="Q86">
        <v>4</v>
      </c>
      <c r="R86">
        <f xml:space="preserve"> (Master_Ledger_Data[[#This Row],[Outstanding_Balance_AUD]]/Master_Ledger_Data[[#This Row],[EVIC_AUD]]) *Master_Ledger_Data[[#This Row],[Estimated_Scope_1_2_Total]]</f>
        <v>211.03370198430468</v>
      </c>
    </row>
    <row r="87" spans="1:18" x14ac:dyDescent="0.3">
      <c r="A87" s="1" t="s">
        <v>203</v>
      </c>
      <c r="B87" t="s">
        <v>432</v>
      </c>
      <c r="C87" s="1" t="s">
        <v>33</v>
      </c>
      <c r="D87" s="1" t="s">
        <v>19</v>
      </c>
      <c r="E87" s="1" t="s">
        <v>37</v>
      </c>
      <c r="F87">
        <v>156320024.55000001</v>
      </c>
      <c r="G87" s="2">
        <v>49028</v>
      </c>
      <c r="H87">
        <v>7</v>
      </c>
      <c r="I87" s="1" t="s">
        <v>176</v>
      </c>
      <c r="J87" s="1" t="s">
        <v>31</v>
      </c>
      <c r="K87">
        <v>590506019.01999998</v>
      </c>
      <c r="L87">
        <v>295757979.81999999</v>
      </c>
      <c r="M87">
        <v>44363.7</v>
      </c>
      <c r="N87">
        <v>1136</v>
      </c>
      <c r="O87">
        <v>4</v>
      </c>
      <c r="P87">
        <v>44363.7</v>
      </c>
      <c r="Q87">
        <v>2</v>
      </c>
      <c r="R87">
        <f xml:space="preserve"> (Master_Ledger_Data[[#This Row],[Outstanding_Balance_AUD]]/Master_Ledger_Data[[#This Row],[EVIC_AUD]]) *Master_Ledger_Data[[#This Row],[Estimated_Scope_1_2_Total]]</f>
        <v>11744.054166692506</v>
      </c>
    </row>
    <row r="88" spans="1:18" x14ac:dyDescent="0.3">
      <c r="A88" s="1" t="s">
        <v>204</v>
      </c>
      <c r="B88" t="s">
        <v>433</v>
      </c>
      <c r="C88" s="1" t="s">
        <v>41</v>
      </c>
      <c r="D88" s="1" t="s">
        <v>28</v>
      </c>
      <c r="E88" s="1" t="s">
        <v>42</v>
      </c>
      <c r="F88">
        <v>161876392.55000001</v>
      </c>
      <c r="G88" s="2">
        <v>46180</v>
      </c>
      <c r="H88">
        <v>2</v>
      </c>
      <c r="I88" s="1" t="s">
        <v>205</v>
      </c>
      <c r="J88" s="1" t="s">
        <v>22</v>
      </c>
      <c r="K88">
        <v>178064031.81</v>
      </c>
      <c r="L88">
        <v>311636810.63999999</v>
      </c>
      <c r="M88">
        <v>46745.52</v>
      </c>
      <c r="N88">
        <v>1136</v>
      </c>
      <c r="O88">
        <v>4</v>
      </c>
      <c r="P88">
        <v>46745.52</v>
      </c>
      <c r="Q88">
        <v>2</v>
      </c>
      <c r="R88">
        <f xml:space="preserve"> (Master_Ledger_Data[[#This Row],[Outstanding_Balance_AUD]]/Master_Ledger_Data[[#This Row],[EVIC_AUD]]) *Master_Ledger_Data[[#This Row],[Estimated_Scope_1_2_Total]]</f>
        <v>42495.927271533998</v>
      </c>
    </row>
    <row r="89" spans="1:18" x14ac:dyDescent="0.3">
      <c r="A89" s="1" t="s">
        <v>206</v>
      </c>
      <c r="B89" t="s">
        <v>434</v>
      </c>
      <c r="C89" s="1" t="s">
        <v>66</v>
      </c>
      <c r="D89" s="1" t="s">
        <v>24</v>
      </c>
      <c r="E89" s="1" t="s">
        <v>42</v>
      </c>
      <c r="F89">
        <v>200372276.06999999</v>
      </c>
      <c r="G89" s="2">
        <v>48666</v>
      </c>
      <c r="H89">
        <v>10</v>
      </c>
      <c r="I89" s="1" t="s">
        <v>207</v>
      </c>
      <c r="J89" s="1" t="s">
        <v>22</v>
      </c>
      <c r="K89">
        <v>3214960325.25</v>
      </c>
      <c r="L89">
        <v>596134496.48000002</v>
      </c>
      <c r="M89">
        <v>56434.683999999994</v>
      </c>
      <c r="N89">
        <v>1200</v>
      </c>
      <c r="O89">
        <v>4</v>
      </c>
      <c r="P89">
        <v>56434.683999999994</v>
      </c>
      <c r="Q89">
        <v>4</v>
      </c>
      <c r="R89">
        <f xml:space="preserve"> (Master_Ledger_Data[[#This Row],[Outstanding_Balance_AUD]]/Master_Ledger_Data[[#This Row],[EVIC_AUD]]) *Master_Ledger_Data[[#This Row],[Estimated_Scope_1_2_Total]]</f>
        <v>3517.2894649926629</v>
      </c>
    </row>
    <row r="90" spans="1:18" x14ac:dyDescent="0.3">
      <c r="A90" s="1" t="s">
        <v>208</v>
      </c>
      <c r="B90" t="s">
        <v>435</v>
      </c>
      <c r="C90" s="1" t="s">
        <v>33</v>
      </c>
      <c r="D90" s="1" t="s">
        <v>28</v>
      </c>
      <c r="E90" s="1" t="s">
        <v>37</v>
      </c>
      <c r="F90">
        <v>287180279.19</v>
      </c>
      <c r="G90" s="2">
        <v>46678</v>
      </c>
      <c r="H90">
        <v>6</v>
      </c>
      <c r="I90" s="1" t="s">
        <v>209</v>
      </c>
      <c r="J90" s="1" t="s">
        <v>39</v>
      </c>
      <c r="K90">
        <v>1441590873.4400001</v>
      </c>
      <c r="L90">
        <v>773500748.97000003</v>
      </c>
      <c r="M90">
        <v>116025.11</v>
      </c>
      <c r="N90">
        <v>1136</v>
      </c>
      <c r="O90">
        <v>4</v>
      </c>
      <c r="P90">
        <v>116025.11</v>
      </c>
      <c r="Q90">
        <v>2</v>
      </c>
      <c r="R90">
        <f xml:space="preserve"> (Master_Ledger_Data[[#This Row],[Outstanding_Balance_AUD]]/Master_Ledger_Data[[#This Row],[EVIC_AUD]]) *Master_Ledger_Data[[#This Row],[Estimated_Scope_1_2_Total]]</f>
        <v>23113.439531800188</v>
      </c>
    </row>
    <row r="91" spans="1:18" x14ac:dyDescent="0.3">
      <c r="A91" s="1" t="s">
        <v>210</v>
      </c>
      <c r="B91" t="s">
        <v>436</v>
      </c>
      <c r="C91" s="1" t="s">
        <v>66</v>
      </c>
      <c r="D91" s="1" t="s">
        <v>19</v>
      </c>
      <c r="E91" s="1" t="s">
        <v>20</v>
      </c>
      <c r="F91">
        <v>74341587.540000007</v>
      </c>
      <c r="G91" s="2">
        <v>46207</v>
      </c>
      <c r="H91">
        <v>10</v>
      </c>
      <c r="I91" s="1" t="s">
        <v>38</v>
      </c>
      <c r="J91" s="1" t="s">
        <v>22</v>
      </c>
      <c r="K91">
        <v>997310255.53999996</v>
      </c>
      <c r="L91">
        <v>167730248.83000001</v>
      </c>
      <c r="M91">
        <v>56434.683999999994</v>
      </c>
      <c r="N91">
        <v>1200</v>
      </c>
      <c r="O91">
        <v>4</v>
      </c>
      <c r="P91">
        <v>56434.683999999994</v>
      </c>
      <c r="Q91">
        <v>4</v>
      </c>
      <c r="R91">
        <f xml:space="preserve"> (Master_Ledger_Data[[#This Row],[Outstanding_Balance_AUD]]/Master_Ledger_Data[[#This Row],[EVIC_AUD]]) *Master_Ledger_Data[[#This Row],[Estimated_Scope_1_2_Total]]</f>
        <v>4206.7591078832211</v>
      </c>
    </row>
    <row r="92" spans="1:18" x14ac:dyDescent="0.3">
      <c r="A92" s="1" t="s">
        <v>211</v>
      </c>
      <c r="B92" t="s">
        <v>422</v>
      </c>
      <c r="C92" s="1" t="s">
        <v>18</v>
      </c>
      <c r="D92" s="1" t="s">
        <v>24</v>
      </c>
      <c r="E92" s="1" t="s">
        <v>29</v>
      </c>
      <c r="F92">
        <v>164662628.30000001</v>
      </c>
      <c r="G92" s="2">
        <v>49228</v>
      </c>
      <c r="H92">
        <v>1</v>
      </c>
      <c r="I92" s="1" t="s">
        <v>212</v>
      </c>
      <c r="J92" s="1" t="s">
        <v>39</v>
      </c>
      <c r="K92">
        <v>4670522574.0600004</v>
      </c>
      <c r="L92">
        <v>415510151.91000003</v>
      </c>
      <c r="M92">
        <v>8310.2000000000007</v>
      </c>
      <c r="N92">
        <v>25</v>
      </c>
      <c r="O92">
        <v>5</v>
      </c>
      <c r="P92">
        <v>8310.2000000000007</v>
      </c>
      <c r="Q92">
        <v>2</v>
      </c>
      <c r="R92">
        <f xml:space="preserve"> (Master_Ledger_Data[[#This Row],[Outstanding_Balance_AUD]]/Master_Ledger_Data[[#This Row],[EVIC_AUD]]) *Master_Ledger_Data[[#This Row],[Estimated_Scope_1_2_Total]]</f>
        <v>292.98207042154445</v>
      </c>
    </row>
    <row r="93" spans="1:18" x14ac:dyDescent="0.3">
      <c r="A93" s="1" t="s">
        <v>213</v>
      </c>
      <c r="B93" t="s">
        <v>423</v>
      </c>
      <c r="C93" s="1" t="s">
        <v>18</v>
      </c>
      <c r="D93" s="1" t="s">
        <v>19</v>
      </c>
      <c r="E93" s="1" t="s">
        <v>37</v>
      </c>
      <c r="F93">
        <v>352729621.56999999</v>
      </c>
      <c r="G93" s="2">
        <v>49300</v>
      </c>
      <c r="H93">
        <v>7</v>
      </c>
      <c r="I93" s="1" t="s">
        <v>214</v>
      </c>
      <c r="J93" s="1" t="s">
        <v>22</v>
      </c>
      <c r="K93">
        <v>9861361499.1599998</v>
      </c>
      <c r="L93">
        <v>981682297.04999995</v>
      </c>
      <c r="M93">
        <v>4461.59</v>
      </c>
      <c r="N93">
        <v>25</v>
      </c>
      <c r="O93">
        <v>5</v>
      </c>
      <c r="P93">
        <v>4461.59</v>
      </c>
      <c r="Q93">
        <v>5</v>
      </c>
      <c r="R93">
        <f xml:space="preserve"> (Master_Ledger_Data[[#This Row],[Outstanding_Balance_AUD]]/Master_Ledger_Data[[#This Row],[EVIC_AUD]]) *Master_Ledger_Data[[#This Row],[Estimated_Scope_1_2_Total]]</f>
        <v>159.58597121042044</v>
      </c>
    </row>
    <row r="94" spans="1:18" x14ac:dyDescent="0.3">
      <c r="A94" s="1" t="s">
        <v>215</v>
      </c>
      <c r="B94" t="s">
        <v>424</v>
      </c>
      <c r="C94" s="1" t="s">
        <v>36</v>
      </c>
      <c r="D94" s="1" t="s">
        <v>28</v>
      </c>
      <c r="E94" s="1" t="s">
        <v>20</v>
      </c>
      <c r="F94">
        <v>151772521.11000001</v>
      </c>
      <c r="G94" s="2">
        <v>46590</v>
      </c>
      <c r="H94">
        <v>3</v>
      </c>
      <c r="I94" s="1" t="s">
        <v>216</v>
      </c>
      <c r="J94" s="1" t="s">
        <v>39</v>
      </c>
      <c r="K94">
        <v>6303644855.3800001</v>
      </c>
      <c r="L94">
        <v>378784440.31</v>
      </c>
      <c r="M94">
        <v>56817.67</v>
      </c>
      <c r="N94">
        <v>280</v>
      </c>
      <c r="O94">
        <v>4</v>
      </c>
      <c r="P94">
        <v>56817.67</v>
      </c>
      <c r="Q94">
        <v>2</v>
      </c>
      <c r="R94">
        <f xml:space="preserve"> (Master_Ledger_Data[[#This Row],[Outstanding_Balance_AUD]]/Master_Ledger_Data[[#This Row],[EVIC_AUD]]) *Master_Ledger_Data[[#This Row],[Estimated_Scope_1_2_Total]]</f>
        <v>1367.9960114085734</v>
      </c>
    </row>
    <row r="95" spans="1:18" x14ac:dyDescent="0.3">
      <c r="A95" s="1" t="s">
        <v>217</v>
      </c>
      <c r="B95" t="s">
        <v>425</v>
      </c>
      <c r="C95" s="1" t="s">
        <v>69</v>
      </c>
      <c r="D95" s="1" t="s">
        <v>19</v>
      </c>
      <c r="E95" s="1" t="s">
        <v>20</v>
      </c>
      <c r="F95">
        <v>434200797.69999999</v>
      </c>
      <c r="G95" s="2">
        <v>46577</v>
      </c>
      <c r="H95">
        <v>10</v>
      </c>
      <c r="I95" s="1" t="s">
        <v>218</v>
      </c>
      <c r="J95" s="1" t="s">
        <v>31</v>
      </c>
      <c r="K95">
        <v>4248514495.96</v>
      </c>
      <c r="L95">
        <v>1080934928.53</v>
      </c>
      <c r="M95">
        <v>50221.180256410262</v>
      </c>
      <c r="N95">
        <v>732</v>
      </c>
      <c r="O95">
        <v>4.1760000000000002</v>
      </c>
      <c r="P95">
        <v>50221.180256410262</v>
      </c>
      <c r="Q95">
        <v>3.0759493670886076</v>
      </c>
      <c r="R95">
        <f xml:space="preserve"> (Master_Ledger_Data[[#This Row],[Outstanding_Balance_AUD]]/Master_Ledger_Data[[#This Row],[EVIC_AUD]]) *Master_Ledger_Data[[#This Row],[Estimated_Scope_1_2_Total]]</f>
        <v>5132.6355481438686</v>
      </c>
    </row>
    <row r="96" spans="1:18" x14ac:dyDescent="0.3">
      <c r="A96" s="1" t="s">
        <v>219</v>
      </c>
      <c r="B96" t="s">
        <v>426</v>
      </c>
      <c r="C96" s="1" t="s">
        <v>36</v>
      </c>
      <c r="D96" s="1" t="s">
        <v>28</v>
      </c>
      <c r="E96" s="1" t="s">
        <v>29</v>
      </c>
      <c r="F96">
        <v>315807735.39999998</v>
      </c>
      <c r="G96" s="2">
        <v>46072</v>
      </c>
      <c r="H96">
        <v>1</v>
      </c>
      <c r="I96" s="1" t="s">
        <v>220</v>
      </c>
      <c r="J96" s="1" t="s">
        <v>39</v>
      </c>
      <c r="K96">
        <v>5975899295.0100002</v>
      </c>
      <c r="L96">
        <v>454433872.01999998</v>
      </c>
      <c r="M96">
        <v>50059.561999999991</v>
      </c>
      <c r="N96">
        <v>280</v>
      </c>
      <c r="O96">
        <v>4</v>
      </c>
      <c r="P96">
        <v>50059.561999999991</v>
      </c>
      <c r="Q96">
        <v>4</v>
      </c>
      <c r="R96">
        <f xml:space="preserve"> (Master_Ledger_Data[[#This Row],[Outstanding_Balance_AUD]]/Master_Ledger_Data[[#This Row],[EVIC_AUD]]) *Master_Ledger_Data[[#This Row],[Estimated_Scope_1_2_Total]]</f>
        <v>2645.4925242024906</v>
      </c>
    </row>
    <row r="97" spans="1:18" x14ac:dyDescent="0.3">
      <c r="A97" s="1" t="s">
        <v>221</v>
      </c>
      <c r="B97" t="s">
        <v>427</v>
      </c>
      <c r="C97" s="1" t="s">
        <v>36</v>
      </c>
      <c r="D97" s="1" t="s">
        <v>49</v>
      </c>
      <c r="E97" s="1" t="s">
        <v>20</v>
      </c>
      <c r="F97">
        <v>352473604.24000001</v>
      </c>
      <c r="G97" s="2">
        <v>46452</v>
      </c>
      <c r="H97">
        <v>3</v>
      </c>
      <c r="I97" s="1" t="s">
        <v>222</v>
      </c>
      <c r="J97" s="1" t="s">
        <v>31</v>
      </c>
      <c r="K97">
        <v>3219246888.29</v>
      </c>
      <c r="L97">
        <v>207908559.09</v>
      </c>
      <c r="M97">
        <v>50059.561999999991</v>
      </c>
      <c r="N97">
        <v>280</v>
      </c>
      <c r="O97">
        <v>4</v>
      </c>
      <c r="P97">
        <v>50059.561999999991</v>
      </c>
      <c r="Q97">
        <v>4</v>
      </c>
      <c r="R97">
        <f xml:space="preserve"> (Master_Ledger_Data[[#This Row],[Outstanding_Balance_AUD]]/Master_Ledger_Data[[#This Row],[EVIC_AUD]]) *Master_Ledger_Data[[#This Row],[Estimated_Scope_1_2_Total]]</f>
        <v>5480.9944241922494</v>
      </c>
    </row>
    <row r="98" spans="1:18" x14ac:dyDescent="0.3">
      <c r="A98" s="1" t="s">
        <v>223</v>
      </c>
      <c r="B98" t="s">
        <v>428</v>
      </c>
      <c r="C98" s="1" t="s">
        <v>69</v>
      </c>
      <c r="D98" s="1" t="s">
        <v>28</v>
      </c>
      <c r="E98" s="1" t="s">
        <v>20</v>
      </c>
      <c r="F98">
        <v>18670302.079999998</v>
      </c>
      <c r="G98" s="2">
        <v>49478</v>
      </c>
      <c r="H98">
        <v>2</v>
      </c>
      <c r="I98" s="1" t="s">
        <v>224</v>
      </c>
      <c r="J98" s="1" t="s">
        <v>22</v>
      </c>
      <c r="K98">
        <v>80018313.560000002</v>
      </c>
      <c r="L98">
        <v>22709680.379999999</v>
      </c>
      <c r="M98">
        <v>50221.180256410262</v>
      </c>
      <c r="N98">
        <v>732</v>
      </c>
      <c r="O98">
        <v>4.1760000000000002</v>
      </c>
      <c r="P98">
        <v>50221.180256410262</v>
      </c>
      <c r="Q98">
        <v>3.0759493670886076</v>
      </c>
      <c r="R98">
        <f xml:space="preserve"> (Master_Ledger_Data[[#This Row],[Outstanding_Balance_AUD]]/Master_Ledger_Data[[#This Row],[EVIC_AUD]]) *Master_Ledger_Data[[#This Row],[Estimated_Scope_1_2_Total]]</f>
        <v>11717.875127401165</v>
      </c>
    </row>
    <row r="99" spans="1:18" x14ac:dyDescent="0.3">
      <c r="A99" s="1" t="s">
        <v>225</v>
      </c>
      <c r="B99" t="s">
        <v>429</v>
      </c>
      <c r="C99" s="1" t="s">
        <v>48</v>
      </c>
      <c r="D99" s="1" t="s">
        <v>49</v>
      </c>
      <c r="E99" s="1" t="s">
        <v>42</v>
      </c>
      <c r="F99">
        <v>291248669.79000002</v>
      </c>
      <c r="G99" s="2">
        <v>46906</v>
      </c>
      <c r="H99">
        <v>3</v>
      </c>
      <c r="I99" s="1" t="s">
        <v>226</v>
      </c>
      <c r="J99" s="1" t="s">
        <v>31</v>
      </c>
      <c r="K99">
        <v>1463391604.78</v>
      </c>
      <c r="L99">
        <v>172818360.63</v>
      </c>
      <c r="M99">
        <v>159987.52599999998</v>
      </c>
      <c r="N99">
        <v>1850</v>
      </c>
      <c r="O99">
        <v>4</v>
      </c>
      <c r="P99">
        <v>159987.52599999998</v>
      </c>
      <c r="Q99">
        <v>4</v>
      </c>
      <c r="R99">
        <f xml:space="preserve"> (Master_Ledger_Data[[#This Row],[Outstanding_Balance_AUD]]/Master_Ledger_Data[[#This Row],[EVIC_AUD]]) *Master_Ledger_Data[[#This Row],[Estimated_Scope_1_2_Total]]</f>
        <v>31841.206399088307</v>
      </c>
    </row>
    <row r="100" spans="1:18" x14ac:dyDescent="0.3">
      <c r="A100" s="1" t="s">
        <v>227</v>
      </c>
      <c r="B100" t="s">
        <v>430</v>
      </c>
      <c r="C100" s="1" t="s">
        <v>27</v>
      </c>
      <c r="D100" s="1" t="s">
        <v>49</v>
      </c>
      <c r="E100" s="1" t="s">
        <v>42</v>
      </c>
      <c r="F100">
        <v>81745600.280000001</v>
      </c>
      <c r="G100" s="2">
        <v>49314</v>
      </c>
      <c r="H100">
        <v>6</v>
      </c>
      <c r="I100" s="1" t="s">
        <v>228</v>
      </c>
      <c r="J100" s="1" t="s">
        <v>31</v>
      </c>
      <c r="K100">
        <v>229275889.86000001</v>
      </c>
      <c r="L100">
        <v>66839394.840000004</v>
      </c>
      <c r="M100">
        <v>10025.91</v>
      </c>
      <c r="N100">
        <v>850</v>
      </c>
      <c r="O100">
        <v>4</v>
      </c>
      <c r="P100">
        <v>10025.91</v>
      </c>
      <c r="Q100">
        <v>2</v>
      </c>
      <c r="R100">
        <f xml:space="preserve"> (Master_Ledger_Data[[#This Row],[Outstanding_Balance_AUD]]/Master_Ledger_Data[[#This Row],[EVIC_AUD]]) *Master_Ledger_Data[[#This Row],[Estimated_Scope_1_2_Total]]</f>
        <v>3574.6193452948824</v>
      </c>
    </row>
    <row r="101" spans="1:18" x14ac:dyDescent="0.3">
      <c r="A101" s="1" t="s">
        <v>229</v>
      </c>
      <c r="B101" t="s">
        <v>431</v>
      </c>
      <c r="C101" s="1" t="s">
        <v>48</v>
      </c>
      <c r="D101" s="1" t="s">
        <v>24</v>
      </c>
      <c r="E101" s="1" t="s">
        <v>20</v>
      </c>
      <c r="F101">
        <v>430900286.06</v>
      </c>
      <c r="G101" s="2">
        <v>48405</v>
      </c>
      <c r="H101">
        <v>4</v>
      </c>
      <c r="I101" s="1" t="s">
        <v>230</v>
      </c>
      <c r="J101" s="1" t="s">
        <v>22</v>
      </c>
      <c r="K101">
        <v>3524720213.6300001</v>
      </c>
      <c r="L101">
        <v>447943499.25</v>
      </c>
      <c r="M101">
        <v>159987.52599999998</v>
      </c>
      <c r="N101">
        <v>1850</v>
      </c>
      <c r="O101">
        <v>4</v>
      </c>
      <c r="P101">
        <v>159987.52599999998</v>
      </c>
      <c r="Q101">
        <v>4</v>
      </c>
      <c r="R101">
        <f xml:space="preserve"> (Master_Ledger_Data[[#This Row],[Outstanding_Balance_AUD]]/Master_Ledger_Data[[#This Row],[EVIC_AUD]]) *Master_Ledger_Data[[#This Row],[Estimated_Scope_1_2_Total]]</f>
        <v>19558.622114983104</v>
      </c>
    </row>
    <row r="102" spans="1:18" x14ac:dyDescent="0.3">
      <c r="A102" s="1" t="s">
        <v>231</v>
      </c>
      <c r="B102" t="s">
        <v>432</v>
      </c>
      <c r="C102" s="1" t="s">
        <v>48</v>
      </c>
      <c r="D102" s="1" t="s">
        <v>24</v>
      </c>
      <c r="E102" s="1" t="s">
        <v>29</v>
      </c>
      <c r="F102">
        <v>412187277.52999997</v>
      </c>
      <c r="G102" s="2">
        <v>47130</v>
      </c>
      <c r="H102">
        <v>5</v>
      </c>
      <c r="I102" s="1" t="s">
        <v>232</v>
      </c>
      <c r="J102" s="1" t="s">
        <v>22</v>
      </c>
      <c r="K102">
        <v>1969520536.6400001</v>
      </c>
      <c r="L102">
        <v>259350008.63</v>
      </c>
      <c r="M102">
        <v>159987.52599999998</v>
      </c>
      <c r="N102">
        <v>1850</v>
      </c>
      <c r="O102">
        <v>4</v>
      </c>
      <c r="P102">
        <v>159987.52599999998</v>
      </c>
      <c r="Q102">
        <v>4</v>
      </c>
      <c r="R102">
        <f xml:space="preserve"> (Master_Ledger_Data[[#This Row],[Outstanding_Balance_AUD]]/Master_Ledger_Data[[#This Row],[EVIC_AUD]]) *Master_Ledger_Data[[#This Row],[Estimated_Scope_1_2_Total]]</f>
        <v>33482.67842548211</v>
      </c>
    </row>
    <row r="103" spans="1:18" x14ac:dyDescent="0.3">
      <c r="A103" s="1" t="s">
        <v>233</v>
      </c>
      <c r="B103" t="s">
        <v>433</v>
      </c>
      <c r="C103" s="1" t="s">
        <v>80</v>
      </c>
      <c r="D103" s="1" t="s">
        <v>49</v>
      </c>
      <c r="E103" s="1" t="s">
        <v>37</v>
      </c>
      <c r="F103">
        <v>386146808.77999997</v>
      </c>
      <c r="G103" s="2">
        <v>49104</v>
      </c>
      <c r="H103">
        <v>5</v>
      </c>
      <c r="I103" s="1" t="s">
        <v>234</v>
      </c>
      <c r="J103" s="1" t="s">
        <v>31</v>
      </c>
      <c r="K103">
        <v>10578462774.73</v>
      </c>
      <c r="L103">
        <v>808427210.10000002</v>
      </c>
      <c r="M103">
        <v>8084.27</v>
      </c>
      <c r="N103">
        <v>15</v>
      </c>
      <c r="O103">
        <v>4</v>
      </c>
      <c r="P103">
        <v>8084.27</v>
      </c>
      <c r="Q103">
        <v>2</v>
      </c>
      <c r="R103">
        <f xml:space="preserve"> (Master_Ledger_Data[[#This Row],[Outstanding_Balance_AUD]]/Master_Ledger_Data[[#This Row],[EVIC_AUD]]) *Master_Ledger_Data[[#This Row],[Estimated_Scope_1_2_Total]]</f>
        <v>295.10101120486934</v>
      </c>
    </row>
    <row r="104" spans="1:18" x14ac:dyDescent="0.3">
      <c r="A104" s="1" t="s">
        <v>235</v>
      </c>
      <c r="B104" t="s">
        <v>434</v>
      </c>
      <c r="C104" s="1" t="s">
        <v>69</v>
      </c>
      <c r="D104" s="1" t="s">
        <v>49</v>
      </c>
      <c r="E104" s="1" t="s">
        <v>20</v>
      </c>
      <c r="F104">
        <v>47246995.170000002</v>
      </c>
      <c r="G104" s="2">
        <v>46929</v>
      </c>
      <c r="H104">
        <v>4</v>
      </c>
      <c r="I104" s="1" t="s">
        <v>236</v>
      </c>
      <c r="J104" s="1" t="s">
        <v>31</v>
      </c>
      <c r="K104">
        <v>267294082.88999999</v>
      </c>
      <c r="L104">
        <v>84607597.739999995</v>
      </c>
      <c r="M104">
        <v>12691.14</v>
      </c>
      <c r="N104">
        <v>1136</v>
      </c>
      <c r="O104">
        <v>4</v>
      </c>
      <c r="P104">
        <v>12691.14</v>
      </c>
      <c r="Q104">
        <v>2</v>
      </c>
      <c r="R104">
        <f xml:space="preserve"> (Master_Ledger_Data[[#This Row],[Outstanding_Balance_AUD]]/Master_Ledger_Data[[#This Row],[EVIC_AUD]]) *Master_Ledger_Data[[#This Row],[Estimated_Scope_1_2_Total]]</f>
        <v>2243.2903257666044</v>
      </c>
    </row>
    <row r="105" spans="1:18" x14ac:dyDescent="0.3">
      <c r="A105" s="1" t="s">
        <v>237</v>
      </c>
      <c r="B105" t="s">
        <v>435</v>
      </c>
      <c r="C105" s="1" t="s">
        <v>33</v>
      </c>
      <c r="D105" s="1" t="s">
        <v>19</v>
      </c>
      <c r="E105" s="1" t="s">
        <v>29</v>
      </c>
      <c r="F105">
        <v>272614385.19999999</v>
      </c>
      <c r="G105" s="2">
        <v>48923</v>
      </c>
      <c r="H105">
        <v>8</v>
      </c>
      <c r="I105" s="1" t="s">
        <v>238</v>
      </c>
      <c r="J105" s="1" t="s">
        <v>31</v>
      </c>
      <c r="K105">
        <v>532194773.52999997</v>
      </c>
      <c r="L105">
        <v>320889111.77999997</v>
      </c>
      <c r="M105">
        <v>50221.180256410262</v>
      </c>
      <c r="N105">
        <v>732</v>
      </c>
      <c r="O105">
        <v>4.1760000000000002</v>
      </c>
      <c r="P105">
        <v>50221.180256410262</v>
      </c>
      <c r="Q105">
        <v>3.0759493670886076</v>
      </c>
      <c r="R105">
        <f xml:space="preserve"> (Master_Ledger_Data[[#This Row],[Outstanding_Balance_AUD]]/Master_Ledger_Data[[#This Row],[EVIC_AUD]]) *Master_Ledger_Data[[#This Row],[Estimated_Scope_1_2_Total]]</f>
        <v>25725.574283280512</v>
      </c>
    </row>
    <row r="106" spans="1:18" x14ac:dyDescent="0.3">
      <c r="A106" s="1" t="s">
        <v>239</v>
      </c>
      <c r="B106" t="s">
        <v>436</v>
      </c>
      <c r="C106" s="1" t="s">
        <v>66</v>
      </c>
      <c r="D106" s="1" t="s">
        <v>24</v>
      </c>
      <c r="E106" s="1" t="s">
        <v>37</v>
      </c>
      <c r="F106">
        <v>70708984.010000005</v>
      </c>
      <c r="G106" s="2">
        <v>46422</v>
      </c>
      <c r="H106">
        <v>10</v>
      </c>
      <c r="I106" s="1" t="s">
        <v>240</v>
      </c>
      <c r="J106" s="1" t="s">
        <v>31</v>
      </c>
      <c r="K106">
        <v>297409103.12</v>
      </c>
      <c r="L106">
        <v>39835805.280000001</v>
      </c>
      <c r="M106">
        <v>5975.37</v>
      </c>
      <c r="N106">
        <v>1200</v>
      </c>
      <c r="O106">
        <v>4</v>
      </c>
      <c r="P106">
        <v>5975.37</v>
      </c>
      <c r="Q106">
        <v>2</v>
      </c>
      <c r="R106">
        <f xml:space="preserve"> (Master_Ledger_Data[[#This Row],[Outstanding_Balance_AUD]]/Master_Ledger_Data[[#This Row],[EVIC_AUD]]) *Master_Ledger_Data[[#This Row],[Estimated_Scope_1_2_Total]]</f>
        <v>1420.6436095984475</v>
      </c>
    </row>
    <row r="107" spans="1:18" x14ac:dyDescent="0.3">
      <c r="A107" s="1" t="s">
        <v>241</v>
      </c>
      <c r="B107" t="s">
        <v>422</v>
      </c>
      <c r="C107" s="1" t="s">
        <v>80</v>
      </c>
      <c r="D107" s="1" t="s">
        <v>24</v>
      </c>
      <c r="E107" s="1" t="s">
        <v>42</v>
      </c>
      <c r="F107">
        <v>25328420.800000001</v>
      </c>
      <c r="G107" s="2">
        <v>46172</v>
      </c>
      <c r="H107">
        <v>3</v>
      </c>
      <c r="I107" s="1" t="s">
        <v>242</v>
      </c>
      <c r="J107" s="1" t="s">
        <v>22</v>
      </c>
      <c r="K107">
        <v>656014113.21000004</v>
      </c>
      <c r="L107">
        <v>56734029.289999999</v>
      </c>
      <c r="M107">
        <v>6167.4220000000005</v>
      </c>
      <c r="N107">
        <v>15</v>
      </c>
      <c r="O107">
        <v>4</v>
      </c>
      <c r="P107">
        <v>6167.4220000000005</v>
      </c>
      <c r="Q107">
        <v>4</v>
      </c>
      <c r="R107">
        <f xml:space="preserve"> (Master_Ledger_Data[[#This Row],[Outstanding_Balance_AUD]]/Master_Ledger_Data[[#This Row],[EVIC_AUD]]) *Master_Ledger_Data[[#This Row],[Estimated_Scope_1_2_Total]]</f>
        <v>238.12149239108228</v>
      </c>
    </row>
    <row r="108" spans="1:18" x14ac:dyDescent="0.3">
      <c r="A108" s="1" t="s">
        <v>243</v>
      </c>
      <c r="B108" t="s">
        <v>423</v>
      </c>
      <c r="C108" s="1" t="s">
        <v>33</v>
      </c>
      <c r="D108" s="1" t="s">
        <v>19</v>
      </c>
      <c r="E108" s="1" t="s">
        <v>42</v>
      </c>
      <c r="F108">
        <v>373301108.27999997</v>
      </c>
      <c r="G108" s="2">
        <v>47422</v>
      </c>
      <c r="H108">
        <v>5</v>
      </c>
      <c r="I108" s="1" t="s">
        <v>244</v>
      </c>
      <c r="J108" s="1" t="s">
        <v>31</v>
      </c>
      <c r="K108">
        <v>509003105.57999998</v>
      </c>
      <c r="L108">
        <v>332645857.64999998</v>
      </c>
      <c r="M108">
        <v>50221.180256410262</v>
      </c>
      <c r="N108">
        <v>732</v>
      </c>
      <c r="O108">
        <v>4.1760000000000002</v>
      </c>
      <c r="P108">
        <v>50221.180256410262</v>
      </c>
      <c r="Q108">
        <v>3.0759493670886076</v>
      </c>
      <c r="R108">
        <f xml:space="preserve"> (Master_Ledger_Data[[#This Row],[Outstanding_Balance_AUD]]/Master_Ledger_Data[[#This Row],[EVIC_AUD]]) *Master_Ledger_Data[[#This Row],[Estimated_Scope_1_2_Total]]</f>
        <v>36832.039025547834</v>
      </c>
    </row>
    <row r="109" spans="1:18" x14ac:dyDescent="0.3">
      <c r="A109" s="1" t="s">
        <v>245</v>
      </c>
      <c r="B109" t="s">
        <v>424</v>
      </c>
      <c r="C109" s="1" t="s">
        <v>33</v>
      </c>
      <c r="D109" s="1" t="s">
        <v>24</v>
      </c>
      <c r="E109" s="1" t="s">
        <v>37</v>
      </c>
      <c r="F109">
        <v>481510965.26999998</v>
      </c>
      <c r="G109" s="2">
        <v>48891</v>
      </c>
      <c r="H109">
        <v>9</v>
      </c>
      <c r="I109" s="1" t="s">
        <v>246</v>
      </c>
      <c r="J109" s="1" t="s">
        <v>22</v>
      </c>
      <c r="K109">
        <v>1991582148.28</v>
      </c>
      <c r="L109">
        <v>1100969913.9300001</v>
      </c>
      <c r="M109">
        <v>50221.180256410262</v>
      </c>
      <c r="N109">
        <v>732</v>
      </c>
      <c r="O109">
        <v>4.1760000000000002</v>
      </c>
      <c r="P109">
        <v>50221.180256410262</v>
      </c>
      <c r="Q109">
        <v>3.0759493670886076</v>
      </c>
      <c r="R109">
        <f xml:space="preserve"> (Master_Ledger_Data[[#This Row],[Outstanding_Balance_AUD]]/Master_Ledger_Data[[#This Row],[EVIC_AUD]]) *Master_Ledger_Data[[#This Row],[Estimated_Scope_1_2_Total]]</f>
        <v>12142.129815306507</v>
      </c>
    </row>
    <row r="110" spans="1:18" x14ac:dyDescent="0.3">
      <c r="A110" s="1" t="s">
        <v>247</v>
      </c>
      <c r="B110" t="s">
        <v>425</v>
      </c>
      <c r="C110" s="1" t="s">
        <v>45</v>
      </c>
      <c r="D110" s="1" t="s">
        <v>28</v>
      </c>
      <c r="E110" s="1" t="s">
        <v>20</v>
      </c>
      <c r="F110">
        <v>90780688.439999998</v>
      </c>
      <c r="G110" s="2">
        <v>46565</v>
      </c>
      <c r="H110">
        <v>2</v>
      </c>
      <c r="I110" s="1" t="s">
        <v>248</v>
      </c>
      <c r="J110" s="1" t="s">
        <v>31</v>
      </c>
      <c r="K110">
        <v>258335683.75</v>
      </c>
      <c r="L110">
        <v>262098663.09</v>
      </c>
      <c r="M110">
        <v>50221.180256410262</v>
      </c>
      <c r="N110">
        <v>732</v>
      </c>
      <c r="O110">
        <v>4.1760000000000002</v>
      </c>
      <c r="P110">
        <v>50221.180256410262</v>
      </c>
      <c r="Q110">
        <v>3.0759493670886076</v>
      </c>
      <c r="R110">
        <f xml:space="preserve"> (Master_Ledger_Data[[#This Row],[Outstanding_Balance_AUD]]/Master_Ledger_Data[[#This Row],[EVIC_AUD]]) *Master_Ledger_Data[[#This Row],[Estimated_Scope_1_2_Total]]</f>
        <v>17648.020017080813</v>
      </c>
    </row>
    <row r="111" spans="1:18" x14ac:dyDescent="0.3">
      <c r="A111" s="1" t="s">
        <v>249</v>
      </c>
      <c r="B111" t="s">
        <v>426</v>
      </c>
      <c r="C111" s="1" t="s">
        <v>48</v>
      </c>
      <c r="D111" s="1" t="s">
        <v>49</v>
      </c>
      <c r="E111" s="1" t="s">
        <v>29</v>
      </c>
      <c r="F111">
        <v>276867199.02999997</v>
      </c>
      <c r="G111" s="2">
        <v>46612</v>
      </c>
      <c r="H111">
        <v>9</v>
      </c>
      <c r="I111" s="1" t="s">
        <v>250</v>
      </c>
      <c r="J111" s="1" t="s">
        <v>39</v>
      </c>
      <c r="K111">
        <v>4078336005.3699999</v>
      </c>
      <c r="L111">
        <v>561847123.50999999</v>
      </c>
      <c r="M111">
        <v>159987.52599999998</v>
      </c>
      <c r="N111">
        <v>1850</v>
      </c>
      <c r="O111">
        <v>4</v>
      </c>
      <c r="P111">
        <v>159987.52599999998</v>
      </c>
      <c r="Q111">
        <v>4</v>
      </c>
      <c r="R111">
        <f xml:space="preserve"> (Master_Ledger_Data[[#This Row],[Outstanding_Balance_AUD]]/Master_Ledger_Data[[#This Row],[EVIC_AUD]]) *Master_Ledger_Data[[#This Row],[Estimated_Scope_1_2_Total]]</f>
        <v>10861.1203552221</v>
      </c>
    </row>
    <row r="112" spans="1:18" x14ac:dyDescent="0.3">
      <c r="A112" s="1" t="s">
        <v>251</v>
      </c>
      <c r="B112" t="s">
        <v>427</v>
      </c>
      <c r="C112" s="1" t="s">
        <v>36</v>
      </c>
      <c r="D112" s="1" t="s">
        <v>19</v>
      </c>
      <c r="E112" s="1" t="s">
        <v>37</v>
      </c>
      <c r="F112">
        <v>467633928.68000001</v>
      </c>
      <c r="G112" s="2">
        <v>46949</v>
      </c>
      <c r="H112">
        <v>7</v>
      </c>
      <c r="I112" s="1" t="s">
        <v>252</v>
      </c>
      <c r="J112" s="1" t="s">
        <v>31</v>
      </c>
      <c r="K112">
        <v>11257167926.52</v>
      </c>
      <c r="L112">
        <v>649979219.88999999</v>
      </c>
      <c r="M112">
        <v>50059.561999999991</v>
      </c>
      <c r="N112">
        <v>280</v>
      </c>
      <c r="O112">
        <v>4</v>
      </c>
      <c r="P112">
        <v>50059.561999999991</v>
      </c>
      <c r="Q112">
        <v>4</v>
      </c>
      <c r="R112">
        <f xml:space="preserve"> (Master_Ledger_Data[[#This Row],[Outstanding_Balance_AUD]]/Master_Ledger_Data[[#This Row],[EVIC_AUD]]) *Master_Ledger_Data[[#This Row],[Estimated_Scope_1_2_Total]]</f>
        <v>2079.5238908101442</v>
      </c>
    </row>
    <row r="113" spans="1:18" x14ac:dyDescent="0.3">
      <c r="A113" s="1" t="s">
        <v>253</v>
      </c>
      <c r="B113" t="s">
        <v>428</v>
      </c>
      <c r="C113" s="1" t="s">
        <v>18</v>
      </c>
      <c r="D113" s="1" t="s">
        <v>19</v>
      </c>
      <c r="E113" s="1" t="s">
        <v>20</v>
      </c>
      <c r="F113">
        <v>279405255.99000001</v>
      </c>
      <c r="G113" s="2">
        <v>48890</v>
      </c>
      <c r="H113">
        <v>7</v>
      </c>
      <c r="I113" s="1" t="s">
        <v>254</v>
      </c>
      <c r="J113" s="1" t="s">
        <v>22</v>
      </c>
      <c r="K113">
        <v>1806873158.1099999</v>
      </c>
      <c r="L113">
        <v>220780892.58000001</v>
      </c>
      <c r="M113">
        <v>4461.59</v>
      </c>
      <c r="N113">
        <v>25</v>
      </c>
      <c r="O113">
        <v>5</v>
      </c>
      <c r="P113">
        <v>4461.59</v>
      </c>
      <c r="Q113">
        <v>5</v>
      </c>
      <c r="R113">
        <f xml:space="preserve"> (Master_Ledger_Data[[#This Row],[Outstanding_Balance_AUD]]/Master_Ledger_Data[[#This Row],[EVIC_AUD]]) *Master_Ledger_Data[[#This Row],[Estimated_Scope_1_2_Total]]</f>
        <v>689.91655029972696</v>
      </c>
    </row>
    <row r="114" spans="1:18" x14ac:dyDescent="0.3">
      <c r="A114" s="1" t="s">
        <v>255</v>
      </c>
      <c r="B114" t="s">
        <v>429</v>
      </c>
      <c r="C114" s="1" t="s">
        <v>69</v>
      </c>
      <c r="D114" s="1" t="s">
        <v>19</v>
      </c>
      <c r="E114" s="1" t="s">
        <v>37</v>
      </c>
      <c r="F114">
        <v>285188419.19</v>
      </c>
      <c r="G114" s="2">
        <v>49559</v>
      </c>
      <c r="H114">
        <v>5</v>
      </c>
      <c r="I114" s="1" t="s">
        <v>111</v>
      </c>
      <c r="J114" s="1" t="s">
        <v>31</v>
      </c>
      <c r="K114">
        <v>2766970660.79</v>
      </c>
      <c r="L114">
        <v>752512838.67999995</v>
      </c>
      <c r="M114">
        <v>50221.180256410262</v>
      </c>
      <c r="N114">
        <v>732</v>
      </c>
      <c r="O114">
        <v>4.1760000000000002</v>
      </c>
      <c r="P114">
        <v>50221.180256410262</v>
      </c>
      <c r="Q114">
        <v>3.0759493670886076</v>
      </c>
      <c r="R114">
        <f xml:space="preserve"> (Master_Ledger_Data[[#This Row],[Outstanding_Balance_AUD]]/Master_Ledger_Data[[#This Row],[EVIC_AUD]]) *Master_Ledger_Data[[#This Row],[Estimated_Scope_1_2_Total]]</f>
        <v>5176.2381185106078</v>
      </c>
    </row>
    <row r="115" spans="1:18" x14ac:dyDescent="0.3">
      <c r="A115" s="1" t="s">
        <v>256</v>
      </c>
      <c r="B115" t="s">
        <v>430</v>
      </c>
      <c r="C115" s="1" t="s">
        <v>33</v>
      </c>
      <c r="D115" s="1" t="s">
        <v>28</v>
      </c>
      <c r="E115" s="1" t="s">
        <v>37</v>
      </c>
      <c r="F115">
        <v>12124776.869999999</v>
      </c>
      <c r="G115" s="2">
        <v>47296</v>
      </c>
      <c r="H115">
        <v>5</v>
      </c>
      <c r="I115" s="1" t="s">
        <v>257</v>
      </c>
      <c r="J115" s="1" t="s">
        <v>39</v>
      </c>
      <c r="K115">
        <v>15296014.060000001</v>
      </c>
      <c r="L115">
        <v>9027931.8599999994</v>
      </c>
      <c r="M115">
        <v>50221.180256410262</v>
      </c>
      <c r="N115">
        <v>732</v>
      </c>
      <c r="O115">
        <v>4.1760000000000002</v>
      </c>
      <c r="P115">
        <v>50221.180256410262</v>
      </c>
      <c r="Q115">
        <v>3.0759493670886076</v>
      </c>
      <c r="R115">
        <f xml:space="preserve"> (Master_Ledger_Data[[#This Row],[Outstanding_Balance_AUD]]/Master_Ledger_Data[[#This Row],[EVIC_AUD]]) *Master_Ledger_Data[[#This Row],[Estimated_Scope_1_2_Total]]</f>
        <v>39809.103363038084</v>
      </c>
    </row>
    <row r="116" spans="1:18" x14ac:dyDescent="0.3">
      <c r="A116" s="1" t="s">
        <v>258</v>
      </c>
      <c r="B116" t="s">
        <v>431</v>
      </c>
      <c r="C116" s="1" t="s">
        <v>41</v>
      </c>
      <c r="D116" s="1" t="s">
        <v>28</v>
      </c>
      <c r="E116" s="1" t="s">
        <v>42</v>
      </c>
      <c r="F116">
        <v>25160757.149999999</v>
      </c>
      <c r="G116" s="2">
        <v>47826</v>
      </c>
      <c r="H116">
        <v>4</v>
      </c>
      <c r="I116" s="1" t="s">
        <v>190</v>
      </c>
      <c r="J116" s="1" t="s">
        <v>39</v>
      </c>
      <c r="K116">
        <v>27676832.870000001</v>
      </c>
      <c r="L116">
        <v>23475104.039999999</v>
      </c>
      <c r="M116">
        <v>50221.180256410262</v>
      </c>
      <c r="N116">
        <v>732</v>
      </c>
      <c r="O116">
        <v>4.1760000000000002</v>
      </c>
      <c r="P116">
        <v>50221.180256410262</v>
      </c>
      <c r="Q116">
        <v>3.0759493670886076</v>
      </c>
      <c r="R116">
        <f xml:space="preserve"> (Master_Ledger_Data[[#This Row],[Outstanding_Balance_AUD]]/Master_Ledger_Data[[#This Row],[EVIC_AUD]]) *Master_Ledger_Data[[#This Row],[Estimated_Scope_1_2_Total]]</f>
        <v>45655.61840667043</v>
      </c>
    </row>
    <row r="117" spans="1:18" x14ac:dyDescent="0.3">
      <c r="A117" s="1" t="s">
        <v>259</v>
      </c>
      <c r="B117" t="s">
        <v>432</v>
      </c>
      <c r="C117" s="1" t="s">
        <v>36</v>
      </c>
      <c r="D117" s="1" t="s">
        <v>24</v>
      </c>
      <c r="E117" s="1" t="s">
        <v>29</v>
      </c>
      <c r="F117">
        <v>239716045.40000001</v>
      </c>
      <c r="G117" s="2">
        <v>48318</v>
      </c>
      <c r="H117">
        <v>10</v>
      </c>
      <c r="I117" s="1" t="s">
        <v>260</v>
      </c>
      <c r="J117" s="1" t="s">
        <v>39</v>
      </c>
      <c r="K117">
        <v>8091018265.3000002</v>
      </c>
      <c r="L117">
        <v>488930897.86000001</v>
      </c>
      <c r="M117">
        <v>50059.561999999991</v>
      </c>
      <c r="N117">
        <v>280</v>
      </c>
      <c r="O117">
        <v>4</v>
      </c>
      <c r="P117">
        <v>50059.561999999991</v>
      </c>
      <c r="Q117">
        <v>4</v>
      </c>
      <c r="R117">
        <f xml:space="preserve"> (Master_Ledger_Data[[#This Row],[Outstanding_Balance_AUD]]/Master_Ledger_Data[[#This Row],[EVIC_AUD]]) *Master_Ledger_Data[[#This Row],[Estimated_Scope_1_2_Total]]</f>
        <v>1483.1359717182854</v>
      </c>
    </row>
    <row r="118" spans="1:18" x14ac:dyDescent="0.3">
      <c r="A118" s="1" t="s">
        <v>261</v>
      </c>
      <c r="B118" t="s">
        <v>433</v>
      </c>
      <c r="C118" s="1" t="s">
        <v>36</v>
      </c>
      <c r="D118" s="1" t="s">
        <v>49</v>
      </c>
      <c r="E118" s="1" t="s">
        <v>42</v>
      </c>
      <c r="F118">
        <v>404421923.63999999</v>
      </c>
      <c r="G118" s="2">
        <v>47688</v>
      </c>
      <c r="H118">
        <v>1</v>
      </c>
      <c r="I118" s="1" t="s">
        <v>262</v>
      </c>
      <c r="J118" s="1" t="s">
        <v>31</v>
      </c>
      <c r="K118">
        <v>9580342876.6200008</v>
      </c>
      <c r="L118">
        <v>580964847.38999999</v>
      </c>
      <c r="M118">
        <v>50059.561999999991</v>
      </c>
      <c r="N118">
        <v>280</v>
      </c>
      <c r="O118">
        <v>4</v>
      </c>
      <c r="P118">
        <v>50059.561999999991</v>
      </c>
      <c r="Q118">
        <v>4</v>
      </c>
      <c r="R118">
        <f xml:space="preserve"> (Master_Ledger_Data[[#This Row],[Outstanding_Balance_AUD]]/Master_Ledger_Data[[#This Row],[EVIC_AUD]]) *Master_Ledger_Data[[#This Row],[Estimated_Scope_1_2_Total]]</f>
        <v>2113.2003959923468</v>
      </c>
    </row>
    <row r="119" spans="1:18" x14ac:dyDescent="0.3">
      <c r="A119" s="1" t="s">
        <v>263</v>
      </c>
      <c r="B119" t="s">
        <v>434</v>
      </c>
      <c r="C119" s="1" t="s">
        <v>48</v>
      </c>
      <c r="D119" s="1" t="s">
        <v>49</v>
      </c>
      <c r="E119" s="1" t="s">
        <v>42</v>
      </c>
      <c r="F119">
        <v>219756566.37</v>
      </c>
      <c r="G119" s="2">
        <v>48123</v>
      </c>
      <c r="H119">
        <v>10</v>
      </c>
      <c r="I119" s="1" t="s">
        <v>264</v>
      </c>
      <c r="J119" s="1" t="s">
        <v>22</v>
      </c>
      <c r="K119">
        <v>4629528316.8100004</v>
      </c>
      <c r="L119">
        <v>580426449.75999999</v>
      </c>
      <c r="M119">
        <v>159987.52599999998</v>
      </c>
      <c r="N119">
        <v>1850</v>
      </c>
      <c r="O119">
        <v>4</v>
      </c>
      <c r="P119">
        <v>159987.52599999998</v>
      </c>
      <c r="Q119">
        <v>4</v>
      </c>
      <c r="R119">
        <f xml:space="preserve"> (Master_Ledger_Data[[#This Row],[Outstanding_Balance_AUD]]/Master_Ledger_Data[[#This Row],[EVIC_AUD]]) *Master_Ledger_Data[[#This Row],[Estimated_Scope_1_2_Total]]</f>
        <v>7594.3610168945042</v>
      </c>
    </row>
    <row r="120" spans="1:18" x14ac:dyDescent="0.3">
      <c r="A120" s="1" t="s">
        <v>265</v>
      </c>
      <c r="B120" t="s">
        <v>435</v>
      </c>
      <c r="C120" s="1" t="s">
        <v>48</v>
      </c>
      <c r="D120" s="1" t="s">
        <v>24</v>
      </c>
      <c r="E120" s="1" t="s">
        <v>42</v>
      </c>
      <c r="F120">
        <v>474827137.13999999</v>
      </c>
      <c r="G120" s="2">
        <v>49224</v>
      </c>
      <c r="H120">
        <v>2</v>
      </c>
      <c r="I120" s="1" t="s">
        <v>266</v>
      </c>
      <c r="J120" s="1" t="s">
        <v>31</v>
      </c>
      <c r="K120">
        <v>2546104094.2399998</v>
      </c>
      <c r="L120">
        <v>321183459.31999999</v>
      </c>
      <c r="M120">
        <v>159987.52599999998</v>
      </c>
      <c r="N120">
        <v>1850</v>
      </c>
      <c r="O120">
        <v>4</v>
      </c>
      <c r="P120">
        <v>159987.52599999998</v>
      </c>
      <c r="Q120">
        <v>4</v>
      </c>
      <c r="R120">
        <f xml:space="preserve"> (Master_Ledger_Data[[#This Row],[Outstanding_Balance_AUD]]/Master_Ledger_Data[[#This Row],[EVIC_AUD]]) *Master_Ledger_Data[[#This Row],[Estimated_Scope_1_2_Total]]</f>
        <v>29836.336668460892</v>
      </c>
    </row>
    <row r="121" spans="1:18" x14ac:dyDescent="0.3">
      <c r="A121" s="1" t="s">
        <v>267</v>
      </c>
      <c r="B121" t="s">
        <v>436</v>
      </c>
      <c r="C121" s="1" t="s">
        <v>69</v>
      </c>
      <c r="D121" s="1" t="s">
        <v>28</v>
      </c>
      <c r="E121" s="1" t="s">
        <v>29</v>
      </c>
      <c r="F121">
        <v>190433244.24000001</v>
      </c>
      <c r="G121" s="2">
        <v>48862</v>
      </c>
      <c r="H121">
        <v>3</v>
      </c>
      <c r="I121" s="1" t="s">
        <v>268</v>
      </c>
      <c r="J121" s="1" t="s">
        <v>22</v>
      </c>
      <c r="K121">
        <v>1495896520.28</v>
      </c>
      <c r="L121">
        <v>374094482.97000003</v>
      </c>
      <c r="M121">
        <v>50221.180256410262</v>
      </c>
      <c r="N121">
        <v>732</v>
      </c>
      <c r="O121">
        <v>4.1760000000000002</v>
      </c>
      <c r="P121">
        <v>50221.180256410262</v>
      </c>
      <c r="Q121">
        <v>3.0759493670886076</v>
      </c>
      <c r="R121">
        <f xml:space="preserve"> (Master_Ledger_Data[[#This Row],[Outstanding_Balance_AUD]]/Master_Ledger_Data[[#This Row],[EVIC_AUD]]) *Master_Ledger_Data[[#This Row],[Estimated_Scope_1_2_Total]]</f>
        <v>6393.3448310982812</v>
      </c>
    </row>
    <row r="122" spans="1:18" x14ac:dyDescent="0.3">
      <c r="A122" s="1" t="s">
        <v>269</v>
      </c>
      <c r="B122" t="s">
        <v>422</v>
      </c>
      <c r="C122" s="1" t="s">
        <v>66</v>
      </c>
      <c r="D122" s="1" t="s">
        <v>49</v>
      </c>
      <c r="E122" s="1" t="s">
        <v>37</v>
      </c>
      <c r="F122">
        <v>253014742.53999999</v>
      </c>
      <c r="G122" s="2">
        <v>47068</v>
      </c>
      <c r="H122">
        <v>5</v>
      </c>
      <c r="I122" s="1" t="s">
        <v>192</v>
      </c>
      <c r="J122" s="1" t="s">
        <v>39</v>
      </c>
      <c r="K122">
        <v>2478184929.8099999</v>
      </c>
      <c r="L122">
        <v>372039156.12</v>
      </c>
      <c r="M122">
        <v>56434.683999999994</v>
      </c>
      <c r="N122">
        <v>1200</v>
      </c>
      <c r="O122">
        <v>4</v>
      </c>
      <c r="P122">
        <v>56434.683999999994</v>
      </c>
      <c r="Q122">
        <v>4</v>
      </c>
      <c r="R122">
        <f xml:space="preserve"> (Master_Ledger_Data[[#This Row],[Outstanding_Balance_AUD]]/Master_Ledger_Data[[#This Row],[EVIC_AUD]]) *Master_Ledger_Data[[#This Row],[Estimated_Scope_1_2_Total]]</f>
        <v>5761.8004495253699</v>
      </c>
    </row>
    <row r="123" spans="1:18" x14ac:dyDescent="0.3">
      <c r="A123" s="1" t="s">
        <v>270</v>
      </c>
      <c r="B123" t="s">
        <v>423</v>
      </c>
      <c r="C123" s="1" t="s">
        <v>48</v>
      </c>
      <c r="D123" s="1" t="s">
        <v>19</v>
      </c>
      <c r="E123" s="1" t="s">
        <v>20</v>
      </c>
      <c r="F123">
        <v>309846326.37</v>
      </c>
      <c r="G123" s="2">
        <v>46388</v>
      </c>
      <c r="H123">
        <v>7</v>
      </c>
      <c r="I123" s="1" t="s">
        <v>271</v>
      </c>
      <c r="J123" s="1" t="s">
        <v>31</v>
      </c>
      <c r="K123">
        <v>5096675111.9300003</v>
      </c>
      <c r="L123">
        <v>577566557.62</v>
      </c>
      <c r="M123">
        <v>159987.52599999998</v>
      </c>
      <c r="N123">
        <v>1850</v>
      </c>
      <c r="O123">
        <v>4</v>
      </c>
      <c r="P123">
        <v>159987.52599999998</v>
      </c>
      <c r="Q123">
        <v>4</v>
      </c>
      <c r="R123">
        <f xml:space="preserve"> (Master_Ledger_Data[[#This Row],[Outstanding_Balance_AUD]]/Master_Ledger_Data[[#This Row],[EVIC_AUD]]) *Master_Ledger_Data[[#This Row],[Estimated_Scope_1_2_Total]]</f>
        <v>9726.2521364351178</v>
      </c>
    </row>
    <row r="124" spans="1:18" x14ac:dyDescent="0.3">
      <c r="A124" s="1" t="s">
        <v>272</v>
      </c>
      <c r="B124" t="s">
        <v>424</v>
      </c>
      <c r="C124" s="1" t="s">
        <v>18</v>
      </c>
      <c r="D124" s="1" t="s">
        <v>19</v>
      </c>
      <c r="E124" s="1" t="s">
        <v>42</v>
      </c>
      <c r="F124">
        <v>18123098.719999999</v>
      </c>
      <c r="G124" s="2">
        <v>46948</v>
      </c>
      <c r="H124">
        <v>4</v>
      </c>
      <c r="I124" s="1" t="s">
        <v>273</v>
      </c>
      <c r="J124" s="1" t="s">
        <v>22</v>
      </c>
      <c r="K124">
        <v>611412774.36000001</v>
      </c>
      <c r="L124">
        <v>52610928.049999997</v>
      </c>
      <c r="M124">
        <v>4461.59</v>
      </c>
      <c r="N124">
        <v>25</v>
      </c>
      <c r="O124">
        <v>5</v>
      </c>
      <c r="P124">
        <v>4461.59</v>
      </c>
      <c r="Q124">
        <v>5</v>
      </c>
      <c r="R124">
        <f xml:space="preserve"> (Master_Ledger_Data[[#This Row],[Outstanding_Balance_AUD]]/Master_Ledger_Data[[#This Row],[EVIC_AUD]]) *Master_Ledger_Data[[#This Row],[Estimated_Scope_1_2_Total]]</f>
        <v>132.24754111950509</v>
      </c>
    </row>
    <row r="125" spans="1:18" x14ac:dyDescent="0.3">
      <c r="A125" s="1" t="s">
        <v>274</v>
      </c>
      <c r="B125" t="s">
        <v>425</v>
      </c>
      <c r="C125" s="1" t="s">
        <v>27</v>
      </c>
      <c r="D125" s="1" t="s">
        <v>24</v>
      </c>
      <c r="E125" s="1" t="s">
        <v>29</v>
      </c>
      <c r="F125">
        <v>340198329.48000002</v>
      </c>
      <c r="G125" s="2">
        <v>48480</v>
      </c>
      <c r="H125">
        <v>1</v>
      </c>
      <c r="I125" s="1" t="s">
        <v>275</v>
      </c>
      <c r="J125" s="1" t="s">
        <v>22</v>
      </c>
      <c r="K125">
        <v>654525325.80999994</v>
      </c>
      <c r="L125">
        <v>229090661.46000001</v>
      </c>
      <c r="M125">
        <v>31523.905999999999</v>
      </c>
      <c r="N125">
        <v>850</v>
      </c>
      <c r="O125">
        <v>4</v>
      </c>
      <c r="P125">
        <v>31523.905999999999</v>
      </c>
      <c r="Q125">
        <v>4</v>
      </c>
      <c r="R125">
        <f xml:space="preserve"> (Master_Ledger_Data[[#This Row],[Outstanding_Balance_AUD]]/Master_Ledger_Data[[#This Row],[EVIC_AUD]]) *Master_Ledger_Data[[#This Row],[Estimated_Scope_1_2_Total]]</f>
        <v>16384.973563265441</v>
      </c>
    </row>
    <row r="126" spans="1:18" x14ac:dyDescent="0.3">
      <c r="A126" s="1" t="s">
        <v>276</v>
      </c>
      <c r="B126" t="s">
        <v>426</v>
      </c>
      <c r="C126" s="1" t="s">
        <v>33</v>
      </c>
      <c r="D126" s="1" t="s">
        <v>28</v>
      </c>
      <c r="E126" s="1" t="s">
        <v>20</v>
      </c>
      <c r="F126">
        <v>411216540.49000001</v>
      </c>
      <c r="G126" s="2">
        <v>47344</v>
      </c>
      <c r="H126">
        <v>3</v>
      </c>
      <c r="I126" s="1" t="s">
        <v>277</v>
      </c>
      <c r="J126" s="1" t="s">
        <v>39</v>
      </c>
      <c r="K126">
        <v>552258541.57000005</v>
      </c>
      <c r="L126">
        <v>302699539.23000002</v>
      </c>
      <c r="M126">
        <v>50221.180256410262</v>
      </c>
      <c r="N126">
        <v>732</v>
      </c>
      <c r="O126">
        <v>4.1760000000000002</v>
      </c>
      <c r="P126">
        <v>50221.180256410262</v>
      </c>
      <c r="Q126">
        <v>3.0759493670886076</v>
      </c>
      <c r="R126">
        <f xml:space="preserve"> (Master_Ledger_Data[[#This Row],[Outstanding_Balance_AUD]]/Master_Ledger_Data[[#This Row],[EVIC_AUD]]) *Master_Ledger_Data[[#This Row],[Estimated_Scope_1_2_Total]]</f>
        <v>37395.130088265112</v>
      </c>
    </row>
    <row r="127" spans="1:18" x14ac:dyDescent="0.3">
      <c r="A127" s="1" t="s">
        <v>278</v>
      </c>
      <c r="B127" t="s">
        <v>427</v>
      </c>
      <c r="C127" s="1" t="s">
        <v>80</v>
      </c>
      <c r="D127" s="1" t="s">
        <v>19</v>
      </c>
      <c r="E127" s="1" t="s">
        <v>29</v>
      </c>
      <c r="F127">
        <v>480789329.08999997</v>
      </c>
      <c r="G127" s="2">
        <v>47119</v>
      </c>
      <c r="H127">
        <v>2</v>
      </c>
      <c r="I127" s="1" t="s">
        <v>279</v>
      </c>
      <c r="J127" s="1" t="s">
        <v>22</v>
      </c>
      <c r="K127">
        <v>8518169300.0100002</v>
      </c>
      <c r="L127">
        <v>623794862.75999999</v>
      </c>
      <c r="M127">
        <v>6167.4220000000005</v>
      </c>
      <c r="N127">
        <v>15</v>
      </c>
      <c r="O127">
        <v>4</v>
      </c>
      <c r="P127">
        <v>6167.4220000000005</v>
      </c>
      <c r="Q127">
        <v>4</v>
      </c>
      <c r="R127">
        <f xml:space="preserve"> (Master_Ledger_Data[[#This Row],[Outstanding_Balance_AUD]]/Master_Ledger_Data[[#This Row],[EVIC_AUD]]) *Master_Ledger_Data[[#This Row],[Estimated_Scope_1_2_Total]]</f>
        <v>348.10656857823017</v>
      </c>
    </row>
    <row r="128" spans="1:18" x14ac:dyDescent="0.3">
      <c r="A128" s="1" t="s">
        <v>280</v>
      </c>
      <c r="B128" t="s">
        <v>428</v>
      </c>
      <c r="C128" s="1" t="s">
        <v>80</v>
      </c>
      <c r="D128" s="1" t="s">
        <v>24</v>
      </c>
      <c r="E128" s="1" t="s">
        <v>37</v>
      </c>
      <c r="F128">
        <v>51749265.57</v>
      </c>
      <c r="G128" s="2">
        <v>48135</v>
      </c>
      <c r="H128">
        <v>7</v>
      </c>
      <c r="I128" s="1" t="s">
        <v>281</v>
      </c>
      <c r="J128" s="1" t="s">
        <v>39</v>
      </c>
      <c r="K128">
        <v>1437513713.96</v>
      </c>
      <c r="L128">
        <v>131244997.29000001</v>
      </c>
      <c r="M128">
        <v>6167.4220000000005</v>
      </c>
      <c r="N128">
        <v>15</v>
      </c>
      <c r="O128">
        <v>4</v>
      </c>
      <c r="P128">
        <v>6167.4220000000005</v>
      </c>
      <c r="Q128">
        <v>4</v>
      </c>
      <c r="R128">
        <f xml:space="preserve"> (Master_Ledger_Data[[#This Row],[Outstanding_Balance_AUD]]/Master_Ledger_Data[[#This Row],[EVIC_AUD]]) *Master_Ledger_Data[[#This Row],[Estimated_Scope_1_2_Total]]</f>
        <v>222.02192289425452</v>
      </c>
    </row>
    <row r="129" spans="1:18" x14ac:dyDescent="0.3">
      <c r="A129" s="1" t="s">
        <v>282</v>
      </c>
      <c r="B129" t="s">
        <v>429</v>
      </c>
      <c r="C129" s="1" t="s">
        <v>36</v>
      </c>
      <c r="D129" s="1" t="s">
        <v>24</v>
      </c>
      <c r="E129" s="1" t="s">
        <v>29</v>
      </c>
      <c r="F129">
        <v>329582704.50999999</v>
      </c>
      <c r="G129" s="2">
        <v>48705</v>
      </c>
      <c r="H129">
        <v>10</v>
      </c>
      <c r="I129" s="1" t="s">
        <v>283</v>
      </c>
      <c r="J129" s="1" t="s">
        <v>39</v>
      </c>
      <c r="K129">
        <v>12198610926.469999</v>
      </c>
      <c r="L129">
        <v>738872650.49000001</v>
      </c>
      <c r="M129">
        <v>110830.9</v>
      </c>
      <c r="N129">
        <v>280</v>
      </c>
      <c r="O129">
        <v>4</v>
      </c>
      <c r="P129">
        <v>110830.9</v>
      </c>
      <c r="Q129">
        <v>2</v>
      </c>
      <c r="R129">
        <f xml:space="preserve"> (Master_Ledger_Data[[#This Row],[Outstanding_Balance_AUD]]/Master_Ledger_Data[[#This Row],[EVIC_AUD]]) *Master_Ledger_Data[[#This Row],[Estimated_Scope_1_2_Total]]</f>
        <v>2994.435020959203</v>
      </c>
    </row>
    <row r="130" spans="1:18" x14ac:dyDescent="0.3">
      <c r="A130" s="1" t="s">
        <v>284</v>
      </c>
      <c r="B130" t="s">
        <v>430</v>
      </c>
      <c r="C130" s="1" t="s">
        <v>48</v>
      </c>
      <c r="D130" s="1" t="s">
        <v>49</v>
      </c>
      <c r="E130" s="1" t="s">
        <v>29</v>
      </c>
      <c r="F130">
        <v>173609161.88</v>
      </c>
      <c r="G130" s="2">
        <v>46167</v>
      </c>
      <c r="H130">
        <v>9</v>
      </c>
      <c r="I130" s="1" t="s">
        <v>285</v>
      </c>
      <c r="J130" s="1" t="s">
        <v>39</v>
      </c>
      <c r="K130">
        <v>3413313030.3400002</v>
      </c>
      <c r="L130">
        <v>405842250.52999997</v>
      </c>
      <c r="M130">
        <v>159987.52599999998</v>
      </c>
      <c r="N130">
        <v>1850</v>
      </c>
      <c r="O130">
        <v>4</v>
      </c>
      <c r="P130">
        <v>159987.52599999998</v>
      </c>
      <c r="Q130">
        <v>4</v>
      </c>
      <c r="R130">
        <f xml:space="preserve"> (Master_Ledger_Data[[#This Row],[Outstanding_Balance_AUD]]/Master_Ledger_Data[[#This Row],[EVIC_AUD]]) *Master_Ledger_Data[[#This Row],[Estimated_Scope_1_2_Total]]</f>
        <v>8137.3434118780506</v>
      </c>
    </row>
    <row r="131" spans="1:18" x14ac:dyDescent="0.3">
      <c r="A131" s="1" t="s">
        <v>286</v>
      </c>
      <c r="B131" t="s">
        <v>431</v>
      </c>
      <c r="C131" s="1" t="s">
        <v>33</v>
      </c>
      <c r="D131" s="1" t="s">
        <v>24</v>
      </c>
      <c r="E131" s="1" t="s">
        <v>29</v>
      </c>
      <c r="F131">
        <v>347980727.55000001</v>
      </c>
      <c r="G131" s="2">
        <v>47702</v>
      </c>
      <c r="H131">
        <v>8</v>
      </c>
      <c r="I131" s="1" t="s">
        <v>287</v>
      </c>
      <c r="J131" s="1" t="s">
        <v>31</v>
      </c>
      <c r="K131">
        <v>614159649.24000001</v>
      </c>
      <c r="L131">
        <v>328354217.63</v>
      </c>
      <c r="M131">
        <v>49253.13</v>
      </c>
      <c r="N131">
        <v>1136</v>
      </c>
      <c r="O131">
        <v>4</v>
      </c>
      <c r="P131">
        <v>49253.13</v>
      </c>
      <c r="Q131">
        <v>2</v>
      </c>
      <c r="R131">
        <f xml:space="preserve"> (Master_Ledger_Data[[#This Row],[Outstanding_Balance_AUD]]/Master_Ledger_Data[[#This Row],[EVIC_AUD]]) *Master_Ledger_Data[[#This Row],[Estimated_Scope_1_2_Total]]</f>
        <v>27906.65266388599</v>
      </c>
    </row>
    <row r="132" spans="1:18" x14ac:dyDescent="0.3">
      <c r="A132" s="1" t="s">
        <v>288</v>
      </c>
      <c r="B132" t="s">
        <v>432</v>
      </c>
      <c r="C132" s="1" t="s">
        <v>48</v>
      </c>
      <c r="D132" s="1" t="s">
        <v>19</v>
      </c>
      <c r="E132" s="1" t="s">
        <v>37</v>
      </c>
      <c r="F132">
        <v>211883285.69999999</v>
      </c>
      <c r="G132" s="2">
        <v>49121</v>
      </c>
      <c r="H132">
        <v>9</v>
      </c>
      <c r="I132" s="1" t="s">
        <v>289</v>
      </c>
      <c r="J132" s="1" t="s">
        <v>31</v>
      </c>
      <c r="K132">
        <v>4564337431.9300003</v>
      </c>
      <c r="L132">
        <v>630620352.82000005</v>
      </c>
      <c r="M132">
        <v>159987.52599999998</v>
      </c>
      <c r="N132">
        <v>1850</v>
      </c>
      <c r="O132">
        <v>4</v>
      </c>
      <c r="P132">
        <v>159987.52599999998</v>
      </c>
      <c r="Q132">
        <v>4</v>
      </c>
      <c r="R132">
        <f xml:space="preserve"> (Master_Ledger_Data[[#This Row],[Outstanding_Balance_AUD]]/Master_Ledger_Data[[#This Row],[EVIC_AUD]]) *Master_Ledger_Data[[#This Row],[Estimated_Scope_1_2_Total]]</f>
        <v>7426.8572789458158</v>
      </c>
    </row>
    <row r="133" spans="1:18" x14ac:dyDescent="0.3">
      <c r="A133" s="1" t="s">
        <v>290</v>
      </c>
      <c r="B133" t="s">
        <v>433</v>
      </c>
      <c r="C133" s="1" t="s">
        <v>45</v>
      </c>
      <c r="D133" s="1" t="s">
        <v>19</v>
      </c>
      <c r="E133" s="1" t="s">
        <v>20</v>
      </c>
      <c r="F133">
        <v>92832574.170000002</v>
      </c>
      <c r="G133" s="2">
        <v>48557</v>
      </c>
      <c r="H133">
        <v>8</v>
      </c>
      <c r="I133" s="1" t="s">
        <v>291</v>
      </c>
      <c r="J133" s="1" t="s">
        <v>31</v>
      </c>
      <c r="K133">
        <v>190959559.34999999</v>
      </c>
      <c r="L133">
        <v>226607321.5</v>
      </c>
      <c r="M133">
        <v>33991.1</v>
      </c>
      <c r="N133">
        <v>1136</v>
      </c>
      <c r="O133">
        <v>4</v>
      </c>
      <c r="P133">
        <v>33991.1</v>
      </c>
      <c r="Q133">
        <v>2</v>
      </c>
      <c r="R133">
        <f xml:space="preserve"> (Master_Ledger_Data[[#This Row],[Outstanding_Balance_AUD]]/Master_Ledger_Data[[#This Row],[EVIC_AUD]]) *Master_Ledger_Data[[#This Row],[Estimated_Scope_1_2_Total]]</f>
        <v>16524.343283000391</v>
      </c>
    </row>
    <row r="134" spans="1:18" x14ac:dyDescent="0.3">
      <c r="A134" s="1" t="s">
        <v>292</v>
      </c>
      <c r="B134" t="s">
        <v>434</v>
      </c>
      <c r="C134" s="1" t="s">
        <v>80</v>
      </c>
      <c r="D134" s="1" t="s">
        <v>19</v>
      </c>
      <c r="E134" s="1" t="s">
        <v>29</v>
      </c>
      <c r="F134">
        <v>290082664.75</v>
      </c>
      <c r="G134" s="2">
        <v>47175</v>
      </c>
      <c r="H134">
        <v>4</v>
      </c>
      <c r="I134" s="1" t="s">
        <v>248</v>
      </c>
      <c r="J134" s="1" t="s">
        <v>22</v>
      </c>
      <c r="K134">
        <v>8949206571.5799999</v>
      </c>
      <c r="L134">
        <v>767567978.64999998</v>
      </c>
      <c r="M134">
        <v>7675.68</v>
      </c>
      <c r="N134">
        <v>15</v>
      </c>
      <c r="O134">
        <v>4</v>
      </c>
      <c r="P134">
        <v>7675.68</v>
      </c>
      <c r="Q134">
        <v>2</v>
      </c>
      <c r="R134">
        <f xml:space="preserve"> (Master_Ledger_Data[[#This Row],[Outstanding_Balance_AUD]]/Master_Ledger_Data[[#This Row],[EVIC_AUD]]) *Master_Ledger_Data[[#This Row],[Estimated_Scope_1_2_Total]]</f>
        <v>248.8021357378471</v>
      </c>
    </row>
    <row r="135" spans="1:18" x14ac:dyDescent="0.3">
      <c r="A135" s="1" t="s">
        <v>293</v>
      </c>
      <c r="B135" t="s">
        <v>435</v>
      </c>
      <c r="C135" s="1" t="s">
        <v>45</v>
      </c>
      <c r="D135" s="1" t="s">
        <v>49</v>
      </c>
      <c r="E135" s="1" t="s">
        <v>29</v>
      </c>
      <c r="F135">
        <v>173697752.43000001</v>
      </c>
      <c r="G135" s="2">
        <v>49314</v>
      </c>
      <c r="H135">
        <v>5</v>
      </c>
      <c r="I135" s="1" t="s">
        <v>294</v>
      </c>
      <c r="J135" s="1" t="s">
        <v>31</v>
      </c>
      <c r="K135">
        <v>313831838.14999998</v>
      </c>
      <c r="L135">
        <v>414504879.56999999</v>
      </c>
      <c r="M135">
        <v>62175.73</v>
      </c>
      <c r="N135">
        <v>1136</v>
      </c>
      <c r="O135">
        <v>4</v>
      </c>
      <c r="P135">
        <v>62175.73</v>
      </c>
      <c r="Q135">
        <v>2</v>
      </c>
      <c r="R135">
        <f xml:space="preserve"> (Master_Ledger_Data[[#This Row],[Outstanding_Balance_AUD]]/Master_Ledger_Data[[#This Row],[EVIC_AUD]]) *Master_Ledger_Data[[#This Row],[Estimated_Scope_1_2_Total]]</f>
        <v>34412.647933867782</v>
      </c>
    </row>
    <row r="136" spans="1:18" x14ac:dyDescent="0.3">
      <c r="A136" s="1" t="s">
        <v>295</v>
      </c>
      <c r="B136" t="s">
        <v>436</v>
      </c>
      <c r="C136" s="1" t="s">
        <v>80</v>
      </c>
      <c r="D136" s="1" t="s">
        <v>19</v>
      </c>
      <c r="E136" s="1" t="s">
        <v>37</v>
      </c>
      <c r="F136">
        <v>217352043.55000001</v>
      </c>
      <c r="G136" s="2">
        <v>47601</v>
      </c>
      <c r="H136">
        <v>7</v>
      </c>
      <c r="I136" s="1" t="s">
        <v>296</v>
      </c>
      <c r="J136" s="1" t="s">
        <v>22</v>
      </c>
      <c r="K136">
        <v>5199145649.6999998</v>
      </c>
      <c r="L136">
        <v>383220110.93000001</v>
      </c>
      <c r="M136">
        <v>6167.4220000000005</v>
      </c>
      <c r="N136">
        <v>15</v>
      </c>
      <c r="O136">
        <v>4</v>
      </c>
      <c r="P136">
        <v>6167.4220000000005</v>
      </c>
      <c r="Q136">
        <v>4</v>
      </c>
      <c r="R136">
        <f xml:space="preserve"> (Master_Ledger_Data[[#This Row],[Outstanding_Balance_AUD]]/Master_Ledger_Data[[#This Row],[EVIC_AUD]]) *Master_Ledger_Data[[#This Row],[Estimated_Scope_1_2_Total]]</f>
        <v>257.83116408992652</v>
      </c>
    </row>
    <row r="137" spans="1:18" x14ac:dyDescent="0.3">
      <c r="A137" s="1" t="s">
        <v>297</v>
      </c>
      <c r="B137" t="s">
        <v>422</v>
      </c>
      <c r="C137" s="1" t="s">
        <v>48</v>
      </c>
      <c r="D137" s="1" t="s">
        <v>28</v>
      </c>
      <c r="E137" s="1" t="s">
        <v>29</v>
      </c>
      <c r="F137">
        <v>122926895.44</v>
      </c>
      <c r="G137" s="2">
        <v>47874</v>
      </c>
      <c r="H137">
        <v>1</v>
      </c>
      <c r="I137" s="1" t="s">
        <v>298</v>
      </c>
      <c r="J137" s="1" t="s">
        <v>22</v>
      </c>
      <c r="K137">
        <v>2413140333.2399998</v>
      </c>
      <c r="L137">
        <v>336673173.39999998</v>
      </c>
      <c r="M137">
        <v>159987.52599999998</v>
      </c>
      <c r="N137">
        <v>1850</v>
      </c>
      <c r="O137">
        <v>4</v>
      </c>
      <c r="P137">
        <v>159987.52599999998</v>
      </c>
      <c r="Q137">
        <v>4</v>
      </c>
      <c r="R137">
        <f xml:space="preserve"> (Master_Ledger_Data[[#This Row],[Outstanding_Balance_AUD]]/Master_Ledger_Data[[#This Row],[EVIC_AUD]]) *Master_Ledger_Data[[#This Row],[Estimated_Scope_1_2_Total]]</f>
        <v>8149.865803245978</v>
      </c>
    </row>
    <row r="138" spans="1:18" x14ac:dyDescent="0.3">
      <c r="A138" s="1" t="s">
        <v>299</v>
      </c>
      <c r="B138" t="s">
        <v>423</v>
      </c>
      <c r="C138" s="1" t="s">
        <v>66</v>
      </c>
      <c r="D138" s="1" t="s">
        <v>19</v>
      </c>
      <c r="E138" s="1" t="s">
        <v>37</v>
      </c>
      <c r="F138">
        <v>255099924.36000001</v>
      </c>
      <c r="G138" s="2">
        <v>47956</v>
      </c>
      <c r="H138">
        <v>9</v>
      </c>
      <c r="I138" s="1" t="s">
        <v>300</v>
      </c>
      <c r="J138" s="1" t="s">
        <v>39</v>
      </c>
      <c r="K138">
        <v>3715154069.8699999</v>
      </c>
      <c r="L138">
        <v>704957146.42999995</v>
      </c>
      <c r="M138">
        <v>56434.683999999994</v>
      </c>
      <c r="N138">
        <v>1200</v>
      </c>
      <c r="O138">
        <v>4</v>
      </c>
      <c r="P138">
        <v>56434.683999999994</v>
      </c>
      <c r="Q138">
        <v>4</v>
      </c>
      <c r="R138">
        <f xml:space="preserve"> (Master_Ledger_Data[[#This Row],[Outstanding_Balance_AUD]]/Master_Ledger_Data[[#This Row],[EVIC_AUD]]) *Master_Ledger_Data[[#This Row],[Estimated_Scope_1_2_Total]]</f>
        <v>3875.0704140203425</v>
      </c>
    </row>
    <row r="139" spans="1:18" x14ac:dyDescent="0.3">
      <c r="A139" s="1" t="s">
        <v>301</v>
      </c>
      <c r="B139" t="s">
        <v>424</v>
      </c>
      <c r="C139" s="1" t="s">
        <v>45</v>
      </c>
      <c r="D139" s="1" t="s">
        <v>28</v>
      </c>
      <c r="E139" s="1" t="s">
        <v>29</v>
      </c>
      <c r="F139">
        <v>152329411.38</v>
      </c>
      <c r="G139" s="2">
        <v>49143</v>
      </c>
      <c r="H139">
        <v>1</v>
      </c>
      <c r="I139" s="1" t="s">
        <v>302</v>
      </c>
      <c r="J139" s="1" t="s">
        <v>22</v>
      </c>
      <c r="K139">
        <v>465220565.43000001</v>
      </c>
      <c r="L139">
        <v>437970656.23000002</v>
      </c>
      <c r="M139">
        <v>50221.180256410262</v>
      </c>
      <c r="N139">
        <v>732</v>
      </c>
      <c r="O139">
        <v>4.1760000000000002</v>
      </c>
      <c r="P139">
        <v>50221.180256410262</v>
      </c>
      <c r="Q139">
        <v>3.0759493670886076</v>
      </c>
      <c r="R139">
        <f xml:space="preserve"> (Master_Ledger_Data[[#This Row],[Outstanding_Balance_AUD]]/Master_Ledger_Data[[#This Row],[EVIC_AUD]]) *Master_Ledger_Data[[#This Row],[Estimated_Scope_1_2_Total]]</f>
        <v>16444.163039518389</v>
      </c>
    </row>
    <row r="140" spans="1:18" x14ac:dyDescent="0.3">
      <c r="A140" s="1" t="s">
        <v>303</v>
      </c>
      <c r="B140" t="s">
        <v>425</v>
      </c>
      <c r="C140" s="1" t="s">
        <v>18</v>
      </c>
      <c r="D140" s="1" t="s">
        <v>49</v>
      </c>
      <c r="E140" s="1" t="s">
        <v>29</v>
      </c>
      <c r="F140">
        <v>10364637.48</v>
      </c>
      <c r="G140" s="2">
        <v>49357</v>
      </c>
      <c r="H140">
        <v>3</v>
      </c>
      <c r="I140" s="1" t="s">
        <v>254</v>
      </c>
      <c r="J140" s="1" t="s">
        <v>22</v>
      </c>
      <c r="K140">
        <v>211097410.80000001</v>
      </c>
      <c r="L140">
        <v>21554227.870000001</v>
      </c>
      <c r="M140">
        <v>4461.59</v>
      </c>
      <c r="N140">
        <v>25</v>
      </c>
      <c r="O140">
        <v>5</v>
      </c>
      <c r="P140">
        <v>4461.59</v>
      </c>
      <c r="Q140">
        <v>5</v>
      </c>
      <c r="R140">
        <f xml:space="preserve"> (Master_Ledger_Data[[#This Row],[Outstanding_Balance_AUD]]/Master_Ledger_Data[[#This Row],[EVIC_AUD]]) *Master_Ledger_Data[[#This Row],[Estimated_Scope_1_2_Total]]</f>
        <v>219.05888262270054</v>
      </c>
    </row>
    <row r="141" spans="1:18" x14ac:dyDescent="0.3">
      <c r="A141" s="1" t="s">
        <v>304</v>
      </c>
      <c r="B141" t="s">
        <v>426</v>
      </c>
      <c r="C141" s="1" t="s">
        <v>41</v>
      </c>
      <c r="D141" s="1" t="s">
        <v>49</v>
      </c>
      <c r="E141" s="1" t="s">
        <v>20</v>
      </c>
      <c r="F141">
        <v>180678069.28</v>
      </c>
      <c r="G141" s="2">
        <v>47872</v>
      </c>
      <c r="H141">
        <v>4</v>
      </c>
      <c r="I141" s="1" t="s">
        <v>305</v>
      </c>
      <c r="J141" s="1" t="s">
        <v>39</v>
      </c>
      <c r="K141">
        <v>198745876.21000001</v>
      </c>
      <c r="L141">
        <v>238795223.38999999</v>
      </c>
      <c r="M141">
        <v>35819.279999999999</v>
      </c>
      <c r="N141">
        <v>1136</v>
      </c>
      <c r="O141">
        <v>4</v>
      </c>
      <c r="P141">
        <v>35819.279999999999</v>
      </c>
      <c r="Q141">
        <v>2</v>
      </c>
      <c r="R141">
        <f xml:space="preserve"> (Master_Ledger_Data[[#This Row],[Outstanding_Balance_AUD]]/Master_Ledger_Data[[#This Row],[EVIC_AUD]]) *Master_Ledger_Data[[#This Row],[Estimated_Scope_1_2_Total]]</f>
        <v>32562.981817854132</v>
      </c>
    </row>
    <row r="142" spans="1:18" x14ac:dyDescent="0.3">
      <c r="A142" s="1" t="s">
        <v>306</v>
      </c>
      <c r="B142" t="s">
        <v>427</v>
      </c>
      <c r="C142" s="1" t="s">
        <v>66</v>
      </c>
      <c r="D142" s="1" t="s">
        <v>49</v>
      </c>
      <c r="E142" s="1" t="s">
        <v>42</v>
      </c>
      <c r="F142">
        <v>249047700.59999999</v>
      </c>
      <c r="G142" s="2">
        <v>46196</v>
      </c>
      <c r="H142">
        <v>5</v>
      </c>
      <c r="I142" s="1" t="s">
        <v>307</v>
      </c>
      <c r="J142" s="1" t="s">
        <v>39</v>
      </c>
      <c r="K142">
        <v>4340054512.21</v>
      </c>
      <c r="L142">
        <v>617376202.00999999</v>
      </c>
      <c r="M142">
        <v>56434.683999999994</v>
      </c>
      <c r="N142">
        <v>1200</v>
      </c>
      <c r="O142">
        <v>4</v>
      </c>
      <c r="P142">
        <v>56434.683999999994</v>
      </c>
      <c r="Q142">
        <v>4</v>
      </c>
      <c r="R142">
        <f xml:space="preserve"> (Master_Ledger_Data[[#This Row],[Outstanding_Balance_AUD]]/Master_Ledger_Data[[#This Row],[EVIC_AUD]]) *Master_Ledger_Data[[#This Row],[Estimated_Scope_1_2_Total]]</f>
        <v>3238.4220623834271</v>
      </c>
    </row>
    <row r="143" spans="1:18" x14ac:dyDescent="0.3">
      <c r="A143" s="1" t="s">
        <v>308</v>
      </c>
      <c r="B143" t="s">
        <v>428</v>
      </c>
      <c r="C143" s="1" t="s">
        <v>33</v>
      </c>
      <c r="D143" s="1" t="s">
        <v>28</v>
      </c>
      <c r="E143" s="1" t="s">
        <v>42</v>
      </c>
      <c r="F143">
        <v>150139331.99000001</v>
      </c>
      <c r="G143" s="2">
        <v>49149</v>
      </c>
      <c r="H143">
        <v>4</v>
      </c>
      <c r="I143" s="1" t="s">
        <v>309</v>
      </c>
      <c r="J143" s="1" t="s">
        <v>31</v>
      </c>
      <c r="K143">
        <v>364685132.50999999</v>
      </c>
      <c r="L143">
        <v>260649501.66999999</v>
      </c>
      <c r="M143">
        <v>50221.180256410262</v>
      </c>
      <c r="N143">
        <v>732</v>
      </c>
      <c r="O143">
        <v>4.1760000000000002</v>
      </c>
      <c r="P143">
        <v>50221.180256410262</v>
      </c>
      <c r="Q143">
        <v>3.0759493670886076</v>
      </c>
      <c r="R143">
        <f xml:space="preserve"> (Master_Ledger_Data[[#This Row],[Outstanding_Balance_AUD]]/Master_Ledger_Data[[#This Row],[EVIC_AUD]]) *Master_Ledger_Data[[#This Row],[Estimated_Scope_1_2_Total]]</f>
        <v>20675.848240783591</v>
      </c>
    </row>
    <row r="144" spans="1:18" x14ac:dyDescent="0.3">
      <c r="A144" s="1" t="s">
        <v>310</v>
      </c>
      <c r="B144" t="s">
        <v>429</v>
      </c>
      <c r="C144" s="1" t="s">
        <v>48</v>
      </c>
      <c r="D144" s="1" t="s">
        <v>19</v>
      </c>
      <c r="E144" s="1" t="s">
        <v>42</v>
      </c>
      <c r="F144">
        <v>110300308.04000001</v>
      </c>
      <c r="G144" s="2">
        <v>49275</v>
      </c>
      <c r="H144">
        <v>9</v>
      </c>
      <c r="I144" s="1" t="s">
        <v>311</v>
      </c>
      <c r="J144" s="1" t="s">
        <v>39</v>
      </c>
      <c r="K144">
        <v>1532526525.7</v>
      </c>
      <c r="L144">
        <v>176902529.80000001</v>
      </c>
      <c r="M144">
        <v>159987.52599999998</v>
      </c>
      <c r="N144">
        <v>1850</v>
      </c>
      <c r="O144">
        <v>4</v>
      </c>
      <c r="P144">
        <v>159987.52599999998</v>
      </c>
      <c r="Q144">
        <v>4</v>
      </c>
      <c r="R144">
        <f xml:space="preserve"> (Master_Ledger_Data[[#This Row],[Outstanding_Balance_AUD]]/Master_Ledger_Data[[#This Row],[EVIC_AUD]]) *Master_Ledger_Data[[#This Row],[Estimated_Scope_1_2_Total]]</f>
        <v>11514.758866765569</v>
      </c>
    </row>
    <row r="145" spans="1:18" x14ac:dyDescent="0.3">
      <c r="A145" s="1" t="s">
        <v>312</v>
      </c>
      <c r="B145" t="s">
        <v>430</v>
      </c>
      <c r="C145" s="1" t="s">
        <v>80</v>
      </c>
      <c r="D145" s="1" t="s">
        <v>24</v>
      </c>
      <c r="E145" s="1" t="s">
        <v>37</v>
      </c>
      <c r="F145">
        <v>50147021.009999998</v>
      </c>
      <c r="G145" s="2">
        <v>47118</v>
      </c>
      <c r="H145">
        <v>10</v>
      </c>
      <c r="I145" s="1" t="s">
        <v>313</v>
      </c>
      <c r="J145" s="1" t="s">
        <v>31</v>
      </c>
      <c r="K145">
        <v>408881947.19</v>
      </c>
      <c r="L145">
        <v>39749915.840000004</v>
      </c>
      <c r="M145">
        <v>397.5</v>
      </c>
      <c r="N145">
        <v>15</v>
      </c>
      <c r="O145">
        <v>4</v>
      </c>
      <c r="P145">
        <v>397.5</v>
      </c>
      <c r="Q145">
        <v>2</v>
      </c>
      <c r="R145">
        <f xml:space="preserve"> (Master_Ledger_Data[[#This Row],[Outstanding_Balance_AUD]]/Master_Ledger_Data[[#This Row],[EVIC_AUD]]) *Master_Ledger_Data[[#This Row],[Estimated_Scope_1_2_Total]]</f>
        <v>48.751090598314654</v>
      </c>
    </row>
    <row r="146" spans="1:18" x14ac:dyDescent="0.3">
      <c r="A146" s="1" t="s">
        <v>314</v>
      </c>
      <c r="B146" t="s">
        <v>431</v>
      </c>
      <c r="C146" s="1" t="s">
        <v>27</v>
      </c>
      <c r="D146" s="1" t="s">
        <v>28</v>
      </c>
      <c r="E146" s="1" t="s">
        <v>29</v>
      </c>
      <c r="F146">
        <v>277016796.75</v>
      </c>
      <c r="G146" s="2">
        <v>47209</v>
      </c>
      <c r="H146">
        <v>3</v>
      </c>
      <c r="I146" s="1" t="s">
        <v>30</v>
      </c>
      <c r="J146" s="1" t="s">
        <v>31</v>
      </c>
      <c r="K146">
        <v>1619218633.3499999</v>
      </c>
      <c r="L146">
        <v>566650367.36000001</v>
      </c>
      <c r="M146">
        <v>31523.905999999999</v>
      </c>
      <c r="N146">
        <v>850</v>
      </c>
      <c r="O146">
        <v>4</v>
      </c>
      <c r="P146">
        <v>31523.905999999999</v>
      </c>
      <c r="Q146">
        <v>4</v>
      </c>
      <c r="R146">
        <f xml:space="preserve"> (Master_Ledger_Data[[#This Row],[Outstanding_Balance_AUD]]/Master_Ledger_Data[[#This Row],[EVIC_AUD]]) *Master_Ledger_Data[[#This Row],[Estimated_Scope_1_2_Total]]</f>
        <v>5393.1268337130796</v>
      </c>
    </row>
    <row r="147" spans="1:18" x14ac:dyDescent="0.3">
      <c r="A147" s="1" t="s">
        <v>315</v>
      </c>
      <c r="B147" t="s">
        <v>432</v>
      </c>
      <c r="C147" s="1" t="s">
        <v>41</v>
      </c>
      <c r="D147" s="1" t="s">
        <v>28</v>
      </c>
      <c r="E147" s="1" t="s">
        <v>37</v>
      </c>
      <c r="F147">
        <v>275228306.23000002</v>
      </c>
      <c r="G147" s="2">
        <v>48758</v>
      </c>
      <c r="H147">
        <v>9</v>
      </c>
      <c r="I147" s="1" t="s">
        <v>316</v>
      </c>
      <c r="J147" s="1" t="s">
        <v>39</v>
      </c>
      <c r="K147">
        <v>308392571.63</v>
      </c>
      <c r="L147">
        <v>619930520.03999996</v>
      </c>
      <c r="M147">
        <v>92989.58</v>
      </c>
      <c r="N147">
        <v>1136</v>
      </c>
      <c r="O147">
        <v>4</v>
      </c>
      <c r="P147">
        <v>92989.58</v>
      </c>
      <c r="Q147">
        <v>2</v>
      </c>
      <c r="R147">
        <f xml:space="preserve"> (Master_Ledger_Data[[#This Row],[Outstanding_Balance_AUD]]/Master_Ledger_Data[[#This Row],[EVIC_AUD]]) *Master_Ledger_Data[[#This Row],[Estimated_Scope_1_2_Total]]</f>
        <v>82989.562508480987</v>
      </c>
    </row>
    <row r="148" spans="1:18" x14ac:dyDescent="0.3">
      <c r="A148" s="1" t="s">
        <v>317</v>
      </c>
      <c r="B148" t="s">
        <v>433</v>
      </c>
      <c r="C148" s="1" t="s">
        <v>80</v>
      </c>
      <c r="D148" s="1" t="s">
        <v>24</v>
      </c>
      <c r="E148" s="1" t="s">
        <v>20</v>
      </c>
      <c r="F148">
        <v>419297117.75</v>
      </c>
      <c r="G148" s="2">
        <v>49013</v>
      </c>
      <c r="H148">
        <v>6</v>
      </c>
      <c r="I148" s="1" t="s">
        <v>318</v>
      </c>
      <c r="J148" s="1" t="s">
        <v>22</v>
      </c>
      <c r="K148">
        <v>9490569648.5599995</v>
      </c>
      <c r="L148">
        <v>949961884.58000004</v>
      </c>
      <c r="M148">
        <v>6167.4220000000005</v>
      </c>
      <c r="N148">
        <v>15</v>
      </c>
      <c r="O148">
        <v>4</v>
      </c>
      <c r="P148">
        <v>6167.4220000000005</v>
      </c>
      <c r="Q148">
        <v>4</v>
      </c>
      <c r="R148">
        <f xml:space="preserve"> (Master_Ledger_Data[[#This Row],[Outstanding_Balance_AUD]]/Master_Ledger_Data[[#This Row],[EVIC_AUD]]) *Master_Ledger_Data[[#This Row],[Estimated_Scope_1_2_Total]]</f>
        <v>272.47914132744506</v>
      </c>
    </row>
    <row r="149" spans="1:18" x14ac:dyDescent="0.3">
      <c r="A149" s="1" t="s">
        <v>319</v>
      </c>
      <c r="B149" t="s">
        <v>434</v>
      </c>
      <c r="C149" s="1" t="s">
        <v>48</v>
      </c>
      <c r="D149" s="1" t="s">
        <v>49</v>
      </c>
      <c r="E149" s="1" t="s">
        <v>37</v>
      </c>
      <c r="F149">
        <v>215915280.15000001</v>
      </c>
      <c r="G149" s="2">
        <v>47244</v>
      </c>
      <c r="H149">
        <v>10</v>
      </c>
      <c r="I149" s="1" t="s">
        <v>212</v>
      </c>
      <c r="J149" s="1" t="s">
        <v>31</v>
      </c>
      <c r="K149">
        <v>4562403812.9099998</v>
      </c>
      <c r="L149">
        <v>640534042.57000005</v>
      </c>
      <c r="M149">
        <v>159987.52599999998</v>
      </c>
      <c r="N149">
        <v>1850</v>
      </c>
      <c r="O149">
        <v>4</v>
      </c>
      <c r="P149">
        <v>159987.52599999998</v>
      </c>
      <c r="Q149">
        <v>4</v>
      </c>
      <c r="R149">
        <f xml:space="preserve"> (Master_Ledger_Data[[#This Row],[Outstanding_Balance_AUD]]/Master_Ledger_Data[[#This Row],[EVIC_AUD]]) *Master_Ledger_Data[[#This Row],[Estimated_Scope_1_2_Total]]</f>
        <v>7571.392825652285</v>
      </c>
    </row>
    <row r="150" spans="1:18" x14ac:dyDescent="0.3">
      <c r="A150" s="1" t="s">
        <v>320</v>
      </c>
      <c r="B150" t="s">
        <v>435</v>
      </c>
      <c r="C150" s="1" t="s">
        <v>80</v>
      </c>
      <c r="D150" s="1" t="s">
        <v>19</v>
      </c>
      <c r="E150" s="1" t="s">
        <v>29</v>
      </c>
      <c r="F150">
        <v>411820729.35000002</v>
      </c>
      <c r="G150" s="2">
        <v>48734</v>
      </c>
      <c r="H150">
        <v>2</v>
      </c>
      <c r="I150" s="1" t="s">
        <v>321</v>
      </c>
      <c r="J150" s="1" t="s">
        <v>31</v>
      </c>
      <c r="K150">
        <v>14751280567.549999</v>
      </c>
      <c r="L150">
        <v>1042729641.1799999</v>
      </c>
      <c r="M150">
        <v>10427.299999999999</v>
      </c>
      <c r="N150">
        <v>15</v>
      </c>
      <c r="O150">
        <v>4</v>
      </c>
      <c r="P150">
        <v>10427.299999999999</v>
      </c>
      <c r="Q150">
        <v>2</v>
      </c>
      <c r="R150">
        <f xml:space="preserve"> (Master_Ledger_Data[[#This Row],[Outstanding_Balance_AUD]]/Master_Ledger_Data[[#This Row],[EVIC_AUD]]) *Master_Ledger_Data[[#This Row],[Estimated_Scope_1_2_Total]]</f>
        <v>291.10545836933147</v>
      </c>
    </row>
    <row r="151" spans="1:18" x14ac:dyDescent="0.3">
      <c r="A151" s="1" t="s">
        <v>322</v>
      </c>
      <c r="B151" t="s">
        <v>436</v>
      </c>
      <c r="C151" s="1" t="s">
        <v>45</v>
      </c>
      <c r="D151" s="1" t="s">
        <v>28</v>
      </c>
      <c r="E151" s="1" t="s">
        <v>37</v>
      </c>
      <c r="F151">
        <v>259096453.5</v>
      </c>
      <c r="G151" s="2">
        <v>47498</v>
      </c>
      <c r="H151">
        <v>3</v>
      </c>
      <c r="I151" s="1" t="s">
        <v>323</v>
      </c>
      <c r="J151" s="1" t="s">
        <v>31</v>
      </c>
      <c r="K151">
        <v>528278662.98000002</v>
      </c>
      <c r="L151">
        <v>617542266.61000001</v>
      </c>
      <c r="M151">
        <v>50221.180256410262</v>
      </c>
      <c r="N151">
        <v>732</v>
      </c>
      <c r="O151">
        <v>4.1760000000000002</v>
      </c>
      <c r="P151">
        <v>50221.180256410262</v>
      </c>
      <c r="Q151">
        <v>3.0759493670886076</v>
      </c>
      <c r="R151">
        <f xml:space="preserve"> (Master_Ledger_Data[[#This Row],[Outstanding_Balance_AUD]]/Master_Ledger_Data[[#This Row],[EVIC_AUD]]) *Master_Ledger_Data[[#This Row],[Estimated_Scope_1_2_Total]]</f>
        <v>24631.185408131358</v>
      </c>
    </row>
    <row r="152" spans="1:18" x14ac:dyDescent="0.3">
      <c r="A152" s="1" t="s">
        <v>324</v>
      </c>
      <c r="B152" t="s">
        <v>422</v>
      </c>
      <c r="C152" s="1" t="s">
        <v>41</v>
      </c>
      <c r="D152" s="1" t="s">
        <v>28</v>
      </c>
      <c r="E152" s="1" t="s">
        <v>42</v>
      </c>
      <c r="F152">
        <v>190264043.90000001</v>
      </c>
      <c r="G152" s="2">
        <v>47909</v>
      </c>
      <c r="H152">
        <v>6</v>
      </c>
      <c r="I152" s="1" t="s">
        <v>325</v>
      </c>
      <c r="J152" s="1" t="s">
        <v>31</v>
      </c>
      <c r="K152">
        <v>285388853.58999997</v>
      </c>
      <c r="L152">
        <v>464789809.26999998</v>
      </c>
      <c r="M152">
        <v>50221.180256410262</v>
      </c>
      <c r="N152">
        <v>732</v>
      </c>
      <c r="O152">
        <v>4.1760000000000002</v>
      </c>
      <c r="P152">
        <v>50221.180256410262</v>
      </c>
      <c r="Q152">
        <v>3.0759493670886076</v>
      </c>
      <c r="R152">
        <f xml:space="preserve"> (Master_Ledger_Data[[#This Row],[Outstanding_Balance_AUD]]/Master_Ledger_Data[[#This Row],[EVIC_AUD]]) *Master_Ledger_Data[[#This Row],[Estimated_Scope_1_2_Total]]</f>
        <v>33481.632953832624</v>
      </c>
    </row>
    <row r="153" spans="1:18" x14ac:dyDescent="0.3">
      <c r="A153" s="1" t="s">
        <v>326</v>
      </c>
      <c r="B153" t="s">
        <v>423</v>
      </c>
      <c r="C153" s="1" t="s">
        <v>45</v>
      </c>
      <c r="D153" s="1" t="s">
        <v>24</v>
      </c>
      <c r="E153" s="1" t="s">
        <v>42</v>
      </c>
      <c r="F153">
        <v>122159170.87</v>
      </c>
      <c r="G153" s="2">
        <v>49451</v>
      </c>
      <c r="H153">
        <v>9</v>
      </c>
      <c r="I153" s="1" t="s">
        <v>327</v>
      </c>
      <c r="J153" s="1" t="s">
        <v>22</v>
      </c>
      <c r="K153">
        <v>256798041.16999999</v>
      </c>
      <c r="L153">
        <v>337878335.93000001</v>
      </c>
      <c r="M153">
        <v>50221.180256410262</v>
      </c>
      <c r="N153">
        <v>732</v>
      </c>
      <c r="O153">
        <v>4.1760000000000002</v>
      </c>
      <c r="P153">
        <v>50221.180256410262</v>
      </c>
      <c r="Q153">
        <v>3.0759493670886076</v>
      </c>
      <c r="R153">
        <f xml:space="preserve"> (Master_Ledger_Data[[#This Row],[Outstanding_Balance_AUD]]/Master_Ledger_Data[[#This Row],[EVIC_AUD]]) *Master_Ledger_Data[[#This Row],[Estimated_Scope_1_2_Total]]</f>
        <v>23890.282465879653</v>
      </c>
    </row>
    <row r="154" spans="1:18" x14ac:dyDescent="0.3">
      <c r="A154" s="1" t="s">
        <v>328</v>
      </c>
      <c r="B154" t="s">
        <v>424</v>
      </c>
      <c r="C154" s="1" t="s">
        <v>48</v>
      </c>
      <c r="D154" s="1" t="s">
        <v>19</v>
      </c>
      <c r="E154" s="1" t="s">
        <v>29</v>
      </c>
      <c r="F154">
        <v>377922201.69999999</v>
      </c>
      <c r="G154" s="2">
        <v>49194</v>
      </c>
      <c r="H154">
        <v>3</v>
      </c>
      <c r="I154" s="1" t="s">
        <v>329</v>
      </c>
      <c r="J154" s="1" t="s">
        <v>39</v>
      </c>
      <c r="K154">
        <v>1478886362.5599999</v>
      </c>
      <c r="L154">
        <v>199688086.91999999</v>
      </c>
      <c r="M154">
        <v>159987.52599999998</v>
      </c>
      <c r="N154">
        <v>1850</v>
      </c>
      <c r="O154">
        <v>4</v>
      </c>
      <c r="P154">
        <v>159987.52599999998</v>
      </c>
      <c r="Q154">
        <v>4</v>
      </c>
      <c r="R154">
        <f xml:space="preserve"> (Master_Ledger_Data[[#This Row],[Outstanding_Balance_AUD]]/Master_Ledger_Data[[#This Row],[EVIC_AUD]]) *Master_Ledger_Data[[#This Row],[Estimated_Scope_1_2_Total]]</f>
        <v>40884.032472780978</v>
      </c>
    </row>
    <row r="155" spans="1:18" x14ac:dyDescent="0.3">
      <c r="A155" s="1" t="s">
        <v>330</v>
      </c>
      <c r="B155" t="s">
        <v>425</v>
      </c>
      <c r="C155" s="1" t="s">
        <v>33</v>
      </c>
      <c r="D155" s="1" t="s">
        <v>28</v>
      </c>
      <c r="E155" s="1" t="s">
        <v>42</v>
      </c>
      <c r="F155">
        <v>192103857.11000001</v>
      </c>
      <c r="G155" s="2">
        <v>48267</v>
      </c>
      <c r="H155">
        <v>10</v>
      </c>
      <c r="I155" s="1" t="s">
        <v>331</v>
      </c>
      <c r="J155" s="1" t="s">
        <v>31</v>
      </c>
      <c r="K155">
        <v>220473566.38999999</v>
      </c>
      <c r="L155">
        <v>153115378.58000001</v>
      </c>
      <c r="M155">
        <v>22967.31</v>
      </c>
      <c r="N155">
        <v>1136</v>
      </c>
      <c r="O155">
        <v>4</v>
      </c>
      <c r="P155">
        <v>22967.31</v>
      </c>
      <c r="Q155">
        <v>2</v>
      </c>
      <c r="R155">
        <f xml:space="preserve"> (Master_Ledger_Data[[#This Row],[Outstanding_Balance_AUD]]/Master_Ledger_Data[[#This Row],[EVIC_AUD]]) *Master_Ledger_Data[[#This Row],[Estimated_Scope_1_2_Total]]</f>
        <v>20011.962933626291</v>
      </c>
    </row>
    <row r="156" spans="1:18" x14ac:dyDescent="0.3">
      <c r="A156" s="1" t="s">
        <v>332</v>
      </c>
      <c r="B156" t="s">
        <v>426</v>
      </c>
      <c r="C156" s="1" t="s">
        <v>18</v>
      </c>
      <c r="D156" s="1" t="s">
        <v>19</v>
      </c>
      <c r="E156" s="1" t="s">
        <v>42</v>
      </c>
      <c r="F156">
        <v>168475001.86000001</v>
      </c>
      <c r="G156" s="2">
        <v>49250</v>
      </c>
      <c r="H156">
        <v>3</v>
      </c>
      <c r="I156" s="1" t="s">
        <v>333</v>
      </c>
      <c r="J156" s="1" t="s">
        <v>31</v>
      </c>
      <c r="K156">
        <v>4117500053.3899999</v>
      </c>
      <c r="L156">
        <v>398462281.98000002</v>
      </c>
      <c r="M156">
        <v>7969.25</v>
      </c>
      <c r="N156">
        <v>25</v>
      </c>
      <c r="O156">
        <v>5</v>
      </c>
      <c r="P156">
        <v>7969.25</v>
      </c>
      <c r="Q156">
        <v>2</v>
      </c>
      <c r="R156">
        <f xml:space="preserve"> (Master_Ledger_Data[[#This Row],[Outstanding_Balance_AUD]]/Master_Ledger_Data[[#This Row],[EVIC_AUD]]) *Master_Ledger_Data[[#This Row],[Estimated_Scope_1_2_Total]]</f>
        <v>326.07635486668818</v>
      </c>
    </row>
    <row r="157" spans="1:18" x14ac:dyDescent="0.3">
      <c r="A157" s="1" t="s">
        <v>334</v>
      </c>
      <c r="B157" t="s">
        <v>427</v>
      </c>
      <c r="C157" s="1" t="s">
        <v>36</v>
      </c>
      <c r="D157" s="1" t="s">
        <v>49</v>
      </c>
      <c r="E157" s="1" t="s">
        <v>42</v>
      </c>
      <c r="F157">
        <v>10620054.16</v>
      </c>
      <c r="G157" s="2">
        <v>47296</v>
      </c>
      <c r="H157">
        <v>10</v>
      </c>
      <c r="I157" s="1" t="s">
        <v>148</v>
      </c>
      <c r="J157" s="1" t="s">
        <v>39</v>
      </c>
      <c r="K157">
        <v>219087697.81</v>
      </c>
      <c r="L157">
        <v>15262891.720000001</v>
      </c>
      <c r="M157">
        <v>2289.4299999999998</v>
      </c>
      <c r="N157">
        <v>280</v>
      </c>
      <c r="O157">
        <v>4</v>
      </c>
      <c r="P157">
        <v>2289.4299999999998</v>
      </c>
      <c r="Q157">
        <v>2</v>
      </c>
      <c r="R157">
        <f xml:space="preserve"> (Master_Ledger_Data[[#This Row],[Outstanding_Balance_AUD]]/Master_Ledger_Data[[#This Row],[EVIC_AUD]]) *Master_Ledger_Data[[#This Row],[Estimated_Scope_1_2_Total]]</f>
        <v>110.97779947742471</v>
      </c>
    </row>
    <row r="158" spans="1:18" x14ac:dyDescent="0.3">
      <c r="A158" s="1" t="s">
        <v>335</v>
      </c>
      <c r="B158" t="s">
        <v>428</v>
      </c>
      <c r="C158" s="1" t="s">
        <v>33</v>
      </c>
      <c r="D158" s="1" t="s">
        <v>49</v>
      </c>
      <c r="E158" s="1" t="s">
        <v>29</v>
      </c>
      <c r="F158">
        <v>63814868.549999997</v>
      </c>
      <c r="G158" s="2">
        <v>46881</v>
      </c>
      <c r="H158">
        <v>9</v>
      </c>
      <c r="I158" s="1" t="s">
        <v>336</v>
      </c>
      <c r="J158" s="1" t="s">
        <v>31</v>
      </c>
      <c r="K158">
        <v>136171666.87</v>
      </c>
      <c r="L158">
        <v>67579281.879999995</v>
      </c>
      <c r="M158">
        <v>50221.180256410262</v>
      </c>
      <c r="N158">
        <v>732</v>
      </c>
      <c r="O158">
        <v>4.1760000000000002</v>
      </c>
      <c r="P158">
        <v>50221.180256410262</v>
      </c>
      <c r="Q158">
        <v>3.0759493670886076</v>
      </c>
      <c r="R158">
        <f xml:space="preserve"> (Master_Ledger_Data[[#This Row],[Outstanding_Balance_AUD]]/Master_Ledger_Data[[#This Row],[EVIC_AUD]]) *Master_Ledger_Data[[#This Row],[Estimated_Scope_1_2_Total]]</f>
        <v>23535.424733753764</v>
      </c>
    </row>
    <row r="159" spans="1:18" x14ac:dyDescent="0.3">
      <c r="A159" s="1" t="s">
        <v>337</v>
      </c>
      <c r="B159" t="s">
        <v>429</v>
      </c>
      <c r="C159" s="1" t="s">
        <v>41</v>
      </c>
      <c r="D159" s="1" t="s">
        <v>24</v>
      </c>
      <c r="E159" s="1" t="s">
        <v>37</v>
      </c>
      <c r="F159">
        <v>342114516.41000003</v>
      </c>
      <c r="G159" s="2">
        <v>48448</v>
      </c>
      <c r="H159">
        <v>9</v>
      </c>
      <c r="I159" s="1" t="s">
        <v>202</v>
      </c>
      <c r="J159" s="1" t="s">
        <v>39</v>
      </c>
      <c r="K159">
        <v>490643435.30000001</v>
      </c>
      <c r="L159">
        <v>1000581322.64</v>
      </c>
      <c r="M159">
        <v>150087.20000000001</v>
      </c>
      <c r="N159">
        <v>1136</v>
      </c>
      <c r="O159">
        <v>4</v>
      </c>
      <c r="P159">
        <v>150087.20000000001</v>
      </c>
      <c r="Q159">
        <v>2</v>
      </c>
      <c r="R159">
        <f xml:space="preserve"> (Master_Ledger_Data[[#This Row],[Outstanding_Balance_AUD]]/Master_Ledger_Data[[#This Row],[EVIC_AUD]]) *Master_Ledger_Data[[#This Row],[Estimated_Scope_1_2_Total]]</f>
        <v>104652.39347579418</v>
      </c>
    </row>
    <row r="160" spans="1:18" x14ac:dyDescent="0.3">
      <c r="A160" s="1" t="s">
        <v>338</v>
      </c>
      <c r="B160" t="s">
        <v>430</v>
      </c>
      <c r="C160" s="1" t="s">
        <v>80</v>
      </c>
      <c r="D160" s="1" t="s">
        <v>19</v>
      </c>
      <c r="E160" s="1" t="s">
        <v>29</v>
      </c>
      <c r="F160">
        <v>241468870.99000001</v>
      </c>
      <c r="G160" s="2">
        <v>49533</v>
      </c>
      <c r="H160">
        <v>8</v>
      </c>
      <c r="I160" s="1" t="s">
        <v>339</v>
      </c>
      <c r="J160" s="1" t="s">
        <v>22</v>
      </c>
      <c r="K160">
        <v>6310983475.2600002</v>
      </c>
      <c r="L160">
        <v>439292913.06999999</v>
      </c>
      <c r="M160">
        <v>6167.4220000000005</v>
      </c>
      <c r="N160">
        <v>15</v>
      </c>
      <c r="O160">
        <v>4</v>
      </c>
      <c r="P160">
        <v>6167.4220000000005</v>
      </c>
      <c r="Q160">
        <v>4</v>
      </c>
      <c r="R160">
        <f xml:space="preserve"> (Master_Ledger_Data[[#This Row],[Outstanding_Balance_AUD]]/Master_Ledger_Data[[#This Row],[EVIC_AUD]]) *Master_Ledger_Data[[#This Row],[Estimated_Scope_1_2_Total]]</f>
        <v>235.97596683574488</v>
      </c>
    </row>
    <row r="161" spans="1:18" x14ac:dyDescent="0.3">
      <c r="A161" s="1" t="s">
        <v>340</v>
      </c>
      <c r="B161" t="s">
        <v>431</v>
      </c>
      <c r="C161" s="1" t="s">
        <v>41</v>
      </c>
      <c r="D161" s="1" t="s">
        <v>19</v>
      </c>
      <c r="E161" s="1" t="s">
        <v>29</v>
      </c>
      <c r="F161">
        <v>481795157.01999998</v>
      </c>
      <c r="G161" s="2">
        <v>46737</v>
      </c>
      <c r="H161">
        <v>5</v>
      </c>
      <c r="I161" s="1" t="s">
        <v>341</v>
      </c>
      <c r="J161" s="1" t="s">
        <v>22</v>
      </c>
      <c r="K161">
        <v>647076364.97000003</v>
      </c>
      <c r="L161">
        <v>908008358.30999994</v>
      </c>
      <c r="M161">
        <v>50221.180256410262</v>
      </c>
      <c r="N161">
        <v>732</v>
      </c>
      <c r="O161">
        <v>4.1760000000000002</v>
      </c>
      <c r="P161">
        <v>50221.180256410262</v>
      </c>
      <c r="Q161">
        <v>3.0759493670886076</v>
      </c>
      <c r="R161">
        <f xml:space="preserve"> (Master_Ledger_Data[[#This Row],[Outstanding_Balance_AUD]]/Master_Ledger_Data[[#This Row],[EVIC_AUD]]) *Master_Ledger_Data[[#This Row],[Estimated_Scope_1_2_Total]]</f>
        <v>37393.301219537978</v>
      </c>
    </row>
    <row r="162" spans="1:18" x14ac:dyDescent="0.3">
      <c r="A162" s="1" t="s">
        <v>342</v>
      </c>
      <c r="B162" t="s">
        <v>432</v>
      </c>
      <c r="C162" s="1" t="s">
        <v>27</v>
      </c>
      <c r="D162" s="1" t="s">
        <v>19</v>
      </c>
      <c r="E162" s="1" t="s">
        <v>29</v>
      </c>
      <c r="F162">
        <v>266212049</v>
      </c>
      <c r="G162" s="2">
        <v>46255</v>
      </c>
      <c r="H162">
        <v>5</v>
      </c>
      <c r="I162" s="1" t="s">
        <v>289</v>
      </c>
      <c r="J162" s="1" t="s">
        <v>22</v>
      </c>
      <c r="K162">
        <v>2023714976.9200001</v>
      </c>
      <c r="L162">
        <v>551989777.24000001</v>
      </c>
      <c r="M162">
        <v>31523.905999999999</v>
      </c>
      <c r="N162">
        <v>850</v>
      </c>
      <c r="O162">
        <v>4</v>
      </c>
      <c r="P162">
        <v>31523.905999999999</v>
      </c>
      <c r="Q162">
        <v>4</v>
      </c>
      <c r="R162">
        <f xml:space="preserve"> (Master_Ledger_Data[[#This Row],[Outstanding_Balance_AUD]]/Master_Ledger_Data[[#This Row],[EVIC_AUD]]) *Master_Ledger_Data[[#This Row],[Estimated_Scope_1_2_Total]]</f>
        <v>4146.8505715739147</v>
      </c>
    </row>
    <row r="163" spans="1:18" x14ac:dyDescent="0.3">
      <c r="A163" s="1" t="s">
        <v>343</v>
      </c>
      <c r="B163" t="s">
        <v>433</v>
      </c>
      <c r="C163" s="1" t="s">
        <v>66</v>
      </c>
      <c r="D163" s="1" t="s">
        <v>19</v>
      </c>
      <c r="E163" s="1" t="s">
        <v>42</v>
      </c>
      <c r="F163">
        <v>279157870.77999997</v>
      </c>
      <c r="G163" s="2">
        <v>47608</v>
      </c>
      <c r="H163">
        <v>9</v>
      </c>
      <c r="I163" s="1" t="s">
        <v>344</v>
      </c>
      <c r="J163" s="1" t="s">
        <v>39</v>
      </c>
      <c r="K163">
        <v>3761267684.75</v>
      </c>
      <c r="L163">
        <v>577548378.96000004</v>
      </c>
      <c r="M163">
        <v>86632.26</v>
      </c>
      <c r="N163">
        <v>1200</v>
      </c>
      <c r="O163">
        <v>4</v>
      </c>
      <c r="P163">
        <v>86632.26</v>
      </c>
      <c r="Q163">
        <v>2</v>
      </c>
      <c r="R163">
        <f xml:space="preserve"> (Master_Ledger_Data[[#This Row],[Outstanding_Balance_AUD]]/Master_Ledger_Data[[#This Row],[EVIC_AUD]]) *Master_Ledger_Data[[#This Row],[Estimated_Scope_1_2_Total]]</f>
        <v>6429.7676393821457</v>
      </c>
    </row>
    <row r="164" spans="1:18" x14ac:dyDescent="0.3">
      <c r="A164" s="1" t="s">
        <v>345</v>
      </c>
      <c r="B164" t="s">
        <v>434</v>
      </c>
      <c r="C164" s="1" t="s">
        <v>69</v>
      </c>
      <c r="D164" s="1" t="s">
        <v>49</v>
      </c>
      <c r="E164" s="1" t="s">
        <v>29</v>
      </c>
      <c r="F164">
        <v>87276638.799999997</v>
      </c>
      <c r="G164" s="2">
        <v>49429</v>
      </c>
      <c r="H164">
        <v>1</v>
      </c>
      <c r="I164" s="1" t="s">
        <v>346</v>
      </c>
      <c r="J164" s="1" t="s">
        <v>31</v>
      </c>
      <c r="K164">
        <v>166131443.21000001</v>
      </c>
      <c r="L164">
        <v>53554337.700000003</v>
      </c>
      <c r="M164">
        <v>8033.15</v>
      </c>
      <c r="N164">
        <v>1136</v>
      </c>
      <c r="O164">
        <v>4</v>
      </c>
      <c r="P164">
        <v>8033.15</v>
      </c>
      <c r="Q164">
        <v>2</v>
      </c>
      <c r="R164">
        <f xml:space="preserve"> (Master_Ledger_Data[[#This Row],[Outstanding_Balance_AUD]]/Master_Ledger_Data[[#This Row],[EVIC_AUD]]) *Master_Ledger_Data[[#This Row],[Estimated_Scope_1_2_Total]]</f>
        <v>4220.1904553972963</v>
      </c>
    </row>
    <row r="165" spans="1:18" x14ac:dyDescent="0.3">
      <c r="A165" s="1" t="s">
        <v>347</v>
      </c>
      <c r="B165" t="s">
        <v>435</v>
      </c>
      <c r="C165" s="1" t="s">
        <v>66</v>
      </c>
      <c r="D165" s="1" t="s">
        <v>24</v>
      </c>
      <c r="E165" s="1" t="s">
        <v>37</v>
      </c>
      <c r="F165">
        <v>349977902.64999998</v>
      </c>
      <c r="G165" s="2">
        <v>49383</v>
      </c>
      <c r="H165">
        <v>7</v>
      </c>
      <c r="I165" s="1" t="s">
        <v>348</v>
      </c>
      <c r="J165" s="1" t="s">
        <v>22</v>
      </c>
      <c r="K165">
        <v>5903103821.54</v>
      </c>
      <c r="L165">
        <v>953920581.04999995</v>
      </c>
      <c r="M165">
        <v>143088.09</v>
      </c>
      <c r="N165">
        <v>1200</v>
      </c>
      <c r="O165">
        <v>4</v>
      </c>
      <c r="P165">
        <v>143088.09</v>
      </c>
      <c r="Q165">
        <v>2</v>
      </c>
      <c r="R165">
        <f xml:space="preserve"> (Master_Ledger_Data[[#This Row],[Outstanding_Balance_AUD]]/Master_Ledger_Data[[#This Row],[EVIC_AUD]]) *Master_Ledger_Data[[#This Row],[Estimated_Scope_1_2_Total]]</f>
        <v>8483.2778054257888</v>
      </c>
    </row>
    <row r="166" spans="1:18" x14ac:dyDescent="0.3">
      <c r="A166" s="1" t="s">
        <v>349</v>
      </c>
      <c r="B166" t="s">
        <v>436</v>
      </c>
      <c r="C166" s="1" t="s">
        <v>41</v>
      </c>
      <c r="D166" s="1" t="s">
        <v>19</v>
      </c>
      <c r="E166" s="1" t="s">
        <v>42</v>
      </c>
      <c r="F166">
        <v>479557691.67000002</v>
      </c>
      <c r="G166" s="2">
        <v>48884</v>
      </c>
      <c r="H166">
        <v>8</v>
      </c>
      <c r="I166" s="1" t="s">
        <v>350</v>
      </c>
      <c r="J166" s="1" t="s">
        <v>39</v>
      </c>
      <c r="K166">
        <v>527513460.83999997</v>
      </c>
      <c r="L166">
        <v>572329545.38999999</v>
      </c>
      <c r="M166">
        <v>50221.180256410262</v>
      </c>
      <c r="N166">
        <v>732</v>
      </c>
      <c r="O166">
        <v>4.1760000000000002</v>
      </c>
      <c r="P166">
        <v>50221.180256410262</v>
      </c>
      <c r="Q166">
        <v>3.0759493670886076</v>
      </c>
      <c r="R166">
        <f xml:space="preserve"> (Master_Ledger_Data[[#This Row],[Outstanding_Balance_AUD]]/Master_Ledger_Data[[#This Row],[EVIC_AUD]]) *Master_Ledger_Data[[#This Row],[Estimated_Scope_1_2_Total]]</f>
        <v>45655.618414658777</v>
      </c>
    </row>
    <row r="167" spans="1:18" x14ac:dyDescent="0.3">
      <c r="A167" s="1" t="s">
        <v>351</v>
      </c>
      <c r="B167" t="s">
        <v>422</v>
      </c>
      <c r="C167" s="1" t="s">
        <v>66</v>
      </c>
      <c r="D167" s="1" t="s">
        <v>24</v>
      </c>
      <c r="E167" s="1" t="s">
        <v>42</v>
      </c>
      <c r="F167">
        <v>230550092.63</v>
      </c>
      <c r="G167" s="2">
        <v>46720</v>
      </c>
      <c r="H167">
        <v>5</v>
      </c>
      <c r="I167" s="1" t="s">
        <v>352</v>
      </c>
      <c r="J167" s="1" t="s">
        <v>31</v>
      </c>
      <c r="K167">
        <v>2076549181.0799999</v>
      </c>
      <c r="L167">
        <v>318938518.56999999</v>
      </c>
      <c r="M167">
        <v>56434.683999999994</v>
      </c>
      <c r="N167">
        <v>1200</v>
      </c>
      <c r="O167">
        <v>4</v>
      </c>
      <c r="P167">
        <v>56434.683999999994</v>
      </c>
      <c r="Q167">
        <v>4</v>
      </c>
      <c r="R167">
        <f xml:space="preserve"> (Master_Ledger_Data[[#This Row],[Outstanding_Balance_AUD]]/Master_Ledger_Data[[#This Row],[EVIC_AUD]]) *Master_Ledger_Data[[#This Row],[Estimated_Scope_1_2_Total]]</f>
        <v>6265.693941800997</v>
      </c>
    </row>
    <row r="168" spans="1:18" x14ac:dyDescent="0.3">
      <c r="A168" s="1" t="s">
        <v>353</v>
      </c>
      <c r="B168" t="s">
        <v>423</v>
      </c>
      <c r="C168" s="1" t="s">
        <v>66</v>
      </c>
      <c r="D168" s="1" t="s">
        <v>24</v>
      </c>
      <c r="E168" s="1" t="s">
        <v>20</v>
      </c>
      <c r="F168">
        <v>88991552.430000007</v>
      </c>
      <c r="G168" s="2">
        <v>48776</v>
      </c>
      <c r="H168">
        <v>10</v>
      </c>
      <c r="I168" s="1" t="s">
        <v>323</v>
      </c>
      <c r="J168" s="1" t="s">
        <v>22</v>
      </c>
      <c r="K168">
        <v>1966182872.3599999</v>
      </c>
      <c r="L168">
        <v>261278042.75</v>
      </c>
      <c r="M168">
        <v>39191.71</v>
      </c>
      <c r="N168">
        <v>1200</v>
      </c>
      <c r="O168">
        <v>4</v>
      </c>
      <c r="P168">
        <v>39191.71</v>
      </c>
      <c r="Q168">
        <v>2</v>
      </c>
      <c r="R168">
        <f xml:space="preserve"> (Master_Ledger_Data[[#This Row],[Outstanding_Balance_AUD]]/Master_Ledger_Data[[#This Row],[EVIC_AUD]]) *Master_Ledger_Data[[#This Row],[Estimated_Scope_1_2_Total]]</f>
        <v>1773.858965163321</v>
      </c>
    </row>
    <row r="169" spans="1:18" x14ac:dyDescent="0.3">
      <c r="A169" s="1" t="s">
        <v>354</v>
      </c>
      <c r="B169" t="s">
        <v>424</v>
      </c>
      <c r="C169" s="1" t="s">
        <v>33</v>
      </c>
      <c r="D169" s="1" t="s">
        <v>49</v>
      </c>
      <c r="E169" s="1" t="s">
        <v>29</v>
      </c>
      <c r="F169">
        <v>179909352.87</v>
      </c>
      <c r="G169" s="2">
        <v>49302</v>
      </c>
      <c r="H169">
        <v>5</v>
      </c>
      <c r="I169" s="1" t="s">
        <v>355</v>
      </c>
      <c r="J169" s="1" t="s">
        <v>31</v>
      </c>
      <c r="K169">
        <v>519948699.63</v>
      </c>
      <c r="L169">
        <v>331076552.30000001</v>
      </c>
      <c r="M169">
        <v>49661.48</v>
      </c>
      <c r="N169">
        <v>1136</v>
      </c>
      <c r="O169">
        <v>4</v>
      </c>
      <c r="P169">
        <v>49661.48</v>
      </c>
      <c r="Q169">
        <v>2</v>
      </c>
      <c r="R169">
        <f xml:space="preserve"> (Master_Ledger_Data[[#This Row],[Outstanding_Balance_AUD]]/Master_Ledger_Data[[#This Row],[EVIC_AUD]]) *Master_Ledger_Data[[#This Row],[Estimated_Scope_1_2_Total]]</f>
        <v>17183.550484354248</v>
      </c>
    </row>
    <row r="170" spans="1:18" x14ac:dyDescent="0.3">
      <c r="A170" s="1" t="s">
        <v>356</v>
      </c>
      <c r="B170" t="s">
        <v>425</v>
      </c>
      <c r="C170" s="1" t="s">
        <v>18</v>
      </c>
      <c r="D170" s="1" t="s">
        <v>28</v>
      </c>
      <c r="E170" s="1" t="s">
        <v>29</v>
      </c>
      <c r="F170">
        <v>133675182.11</v>
      </c>
      <c r="G170" s="2">
        <v>47999</v>
      </c>
      <c r="H170">
        <v>6</v>
      </c>
      <c r="I170" s="1" t="s">
        <v>357</v>
      </c>
      <c r="J170" s="1" t="s">
        <v>39</v>
      </c>
      <c r="K170">
        <v>2557653538.3699999</v>
      </c>
      <c r="L170">
        <v>295666501.51999998</v>
      </c>
      <c r="M170">
        <v>5913.33</v>
      </c>
      <c r="N170">
        <v>25</v>
      </c>
      <c r="O170">
        <v>5</v>
      </c>
      <c r="P170">
        <v>5913.33</v>
      </c>
      <c r="Q170">
        <v>2</v>
      </c>
      <c r="R170">
        <f xml:space="preserve"> (Master_Ledger_Data[[#This Row],[Outstanding_Balance_AUD]]/Master_Ledger_Data[[#This Row],[EVIC_AUD]]) *Master_Ledger_Data[[#This Row],[Estimated_Scope_1_2_Total]]</f>
        <v>309.05885131349424</v>
      </c>
    </row>
    <row r="171" spans="1:18" x14ac:dyDescent="0.3">
      <c r="A171" s="1" t="s">
        <v>358</v>
      </c>
      <c r="B171" t="s">
        <v>426</v>
      </c>
      <c r="C171" s="1" t="s">
        <v>69</v>
      </c>
      <c r="D171" s="1" t="s">
        <v>28</v>
      </c>
      <c r="E171" s="1" t="s">
        <v>29</v>
      </c>
      <c r="F171">
        <v>143482936.05000001</v>
      </c>
      <c r="G171" s="2">
        <v>48089</v>
      </c>
      <c r="H171">
        <v>4</v>
      </c>
      <c r="I171" s="1" t="s">
        <v>359</v>
      </c>
      <c r="J171" s="1" t="s">
        <v>39</v>
      </c>
      <c r="K171">
        <v>1471468147.1500001</v>
      </c>
      <c r="L171">
        <v>366791614.58999997</v>
      </c>
      <c r="M171">
        <v>55018.74</v>
      </c>
      <c r="N171">
        <v>1136</v>
      </c>
      <c r="O171">
        <v>4</v>
      </c>
      <c r="P171">
        <v>55018.74</v>
      </c>
      <c r="Q171">
        <v>2</v>
      </c>
      <c r="R171">
        <f xml:space="preserve"> (Master_Ledger_Data[[#This Row],[Outstanding_Balance_AUD]]/Master_Ledger_Data[[#This Row],[EVIC_AUD]]) *Master_Ledger_Data[[#This Row],[Estimated_Scope_1_2_Total]]</f>
        <v>5364.8802172588548</v>
      </c>
    </row>
    <row r="172" spans="1:18" x14ac:dyDescent="0.3">
      <c r="A172" s="1" t="s">
        <v>360</v>
      </c>
      <c r="B172" t="s">
        <v>427</v>
      </c>
      <c r="C172" s="1" t="s">
        <v>45</v>
      </c>
      <c r="D172" s="1" t="s">
        <v>49</v>
      </c>
      <c r="E172" s="1" t="s">
        <v>37</v>
      </c>
      <c r="F172">
        <v>343941930.41000003</v>
      </c>
      <c r="G172" s="2">
        <v>46977</v>
      </c>
      <c r="H172">
        <v>3</v>
      </c>
      <c r="I172" s="1" t="s">
        <v>279</v>
      </c>
      <c r="J172" s="1" t="s">
        <v>39</v>
      </c>
      <c r="K172">
        <v>608891429.58000004</v>
      </c>
      <c r="L172">
        <v>699418981.78999996</v>
      </c>
      <c r="M172">
        <v>104912.85</v>
      </c>
      <c r="N172">
        <v>1136</v>
      </c>
      <c r="O172">
        <v>4</v>
      </c>
      <c r="P172">
        <v>104912.85</v>
      </c>
      <c r="Q172">
        <v>2</v>
      </c>
      <c r="R172">
        <f xml:space="preserve"> (Master_Ledger_Data[[#This Row],[Outstanding_Balance_AUD]]/Master_Ledger_Data[[#This Row],[EVIC_AUD]]) *Master_Ledger_Data[[#This Row],[Estimated_Scope_1_2_Total]]</f>
        <v>59261.678520758091</v>
      </c>
    </row>
    <row r="173" spans="1:18" x14ac:dyDescent="0.3">
      <c r="A173" s="1" t="s">
        <v>361</v>
      </c>
      <c r="B173" t="s">
        <v>428</v>
      </c>
      <c r="C173" s="1" t="s">
        <v>41</v>
      </c>
      <c r="D173" s="1" t="s">
        <v>49</v>
      </c>
      <c r="E173" s="1" t="s">
        <v>37</v>
      </c>
      <c r="F173">
        <v>470563254.43000001</v>
      </c>
      <c r="G173" s="2">
        <v>48983</v>
      </c>
      <c r="H173">
        <v>5</v>
      </c>
      <c r="I173" s="1" t="s">
        <v>362</v>
      </c>
      <c r="J173" s="1" t="s">
        <v>31</v>
      </c>
      <c r="K173">
        <v>615590972.83000004</v>
      </c>
      <c r="L173">
        <v>1254126233.1800001</v>
      </c>
      <c r="M173">
        <v>50221.180256410262</v>
      </c>
      <c r="N173">
        <v>732</v>
      </c>
      <c r="O173">
        <v>4.1760000000000002</v>
      </c>
      <c r="P173">
        <v>50221.180256410262</v>
      </c>
      <c r="Q173">
        <v>3.0759493670886076</v>
      </c>
      <c r="R173">
        <f xml:space="preserve"> (Master_Ledger_Data[[#This Row],[Outstanding_Balance_AUD]]/Master_Ledger_Data[[#This Row],[EVIC_AUD]]) *Master_Ledger_Data[[#This Row],[Estimated_Scope_1_2_Total]]</f>
        <v>38389.520096647509</v>
      </c>
    </row>
    <row r="174" spans="1:18" x14ac:dyDescent="0.3">
      <c r="A174" s="1" t="s">
        <v>363</v>
      </c>
      <c r="B174" t="s">
        <v>429</v>
      </c>
      <c r="C174" s="1" t="s">
        <v>27</v>
      </c>
      <c r="D174" s="1" t="s">
        <v>28</v>
      </c>
      <c r="E174" s="1" t="s">
        <v>37</v>
      </c>
      <c r="F174">
        <v>459992393.16000003</v>
      </c>
      <c r="G174" s="2">
        <v>46062</v>
      </c>
      <c r="H174">
        <v>8</v>
      </c>
      <c r="I174" s="1" t="s">
        <v>115</v>
      </c>
      <c r="J174" s="1" t="s">
        <v>22</v>
      </c>
      <c r="K174">
        <v>2533921236.9200001</v>
      </c>
      <c r="L174">
        <v>662921909.25</v>
      </c>
      <c r="M174">
        <v>99438.29</v>
      </c>
      <c r="N174">
        <v>850</v>
      </c>
      <c r="O174">
        <v>4</v>
      </c>
      <c r="P174">
        <v>99438.29</v>
      </c>
      <c r="Q174">
        <v>2</v>
      </c>
      <c r="R174">
        <f xml:space="preserve"> (Master_Ledger_Data[[#This Row],[Outstanding_Balance_AUD]]/Master_Ledger_Data[[#This Row],[EVIC_AUD]]) *Master_Ledger_Data[[#This Row],[Estimated_Scope_1_2_Total]]</f>
        <v>18051.412302158391</v>
      </c>
    </row>
    <row r="175" spans="1:18" x14ac:dyDescent="0.3">
      <c r="A175" s="1" t="s">
        <v>364</v>
      </c>
      <c r="B175" t="s">
        <v>430</v>
      </c>
      <c r="C175" s="1" t="s">
        <v>18</v>
      </c>
      <c r="D175" s="1" t="s">
        <v>24</v>
      </c>
      <c r="E175" s="1" t="s">
        <v>29</v>
      </c>
      <c r="F175">
        <v>433701625.30000001</v>
      </c>
      <c r="G175" s="2">
        <v>46929</v>
      </c>
      <c r="H175">
        <v>5</v>
      </c>
      <c r="I175" s="1" t="s">
        <v>365</v>
      </c>
      <c r="J175" s="1" t="s">
        <v>39</v>
      </c>
      <c r="K175">
        <v>3942465829.25</v>
      </c>
      <c r="L175">
        <v>379940938.00999999</v>
      </c>
      <c r="M175">
        <v>4461.59</v>
      </c>
      <c r="N175">
        <v>25</v>
      </c>
      <c r="O175">
        <v>5</v>
      </c>
      <c r="P175">
        <v>4461.59</v>
      </c>
      <c r="Q175">
        <v>5</v>
      </c>
      <c r="R175">
        <f xml:space="preserve"> (Master_Ledger_Data[[#This Row],[Outstanding_Balance_AUD]]/Master_Ledger_Data[[#This Row],[EVIC_AUD]]) *Master_Ledger_Data[[#This Row],[Estimated_Scope_1_2_Total]]</f>
        <v>490.80928490642975</v>
      </c>
    </row>
    <row r="176" spans="1:18" x14ac:dyDescent="0.3">
      <c r="A176" s="1" t="s">
        <v>366</v>
      </c>
      <c r="B176" t="s">
        <v>431</v>
      </c>
      <c r="C176" s="1" t="s">
        <v>36</v>
      </c>
      <c r="D176" s="1" t="s">
        <v>24</v>
      </c>
      <c r="E176" s="1" t="s">
        <v>37</v>
      </c>
      <c r="F176">
        <v>208571282.71000001</v>
      </c>
      <c r="G176" s="2">
        <v>46426</v>
      </c>
      <c r="H176">
        <v>1</v>
      </c>
      <c r="I176" s="1" t="s">
        <v>367</v>
      </c>
      <c r="J176" s="1" t="s">
        <v>22</v>
      </c>
      <c r="K176">
        <v>10888059773.99</v>
      </c>
      <c r="L176">
        <v>610026366.52999997</v>
      </c>
      <c r="M176">
        <v>91503.95</v>
      </c>
      <c r="N176">
        <v>280</v>
      </c>
      <c r="O176">
        <v>4</v>
      </c>
      <c r="P176">
        <v>91503.95</v>
      </c>
      <c r="Q176">
        <v>2</v>
      </c>
      <c r="R176">
        <f xml:space="preserve"> (Master_Ledger_Data[[#This Row],[Outstanding_Balance_AUD]]/Master_Ledger_Data[[#This Row],[EVIC_AUD]]) *Master_Ledger_Data[[#This Row],[Estimated_Scope_1_2_Total]]</f>
        <v>1752.846385921139</v>
      </c>
    </row>
    <row r="177" spans="1:18" x14ac:dyDescent="0.3">
      <c r="A177" s="1" t="s">
        <v>368</v>
      </c>
      <c r="B177" t="s">
        <v>432</v>
      </c>
      <c r="C177" s="1" t="s">
        <v>48</v>
      </c>
      <c r="D177" s="1" t="s">
        <v>49</v>
      </c>
      <c r="E177" s="1" t="s">
        <v>37</v>
      </c>
      <c r="F177">
        <v>493701684.00999999</v>
      </c>
      <c r="G177" s="2">
        <v>48277</v>
      </c>
      <c r="H177">
        <v>5</v>
      </c>
      <c r="I177" s="1" t="s">
        <v>369</v>
      </c>
      <c r="J177" s="1" t="s">
        <v>22</v>
      </c>
      <c r="K177">
        <v>5979122169.6400003</v>
      </c>
      <c r="L177">
        <v>825337347.69000006</v>
      </c>
      <c r="M177">
        <v>159987.52599999998</v>
      </c>
      <c r="N177">
        <v>1850</v>
      </c>
      <c r="O177">
        <v>4</v>
      </c>
      <c r="P177">
        <v>159987.52599999998</v>
      </c>
      <c r="Q177">
        <v>4</v>
      </c>
      <c r="R177">
        <f xml:space="preserve"> (Master_Ledger_Data[[#This Row],[Outstanding_Balance_AUD]]/Master_Ledger_Data[[#This Row],[EVIC_AUD]]) *Master_Ledger_Data[[#This Row],[Estimated_Scope_1_2_Total]]</f>
        <v>13210.318967533216</v>
      </c>
    </row>
    <row r="178" spans="1:18" x14ac:dyDescent="0.3">
      <c r="A178" s="1" t="s">
        <v>370</v>
      </c>
      <c r="B178" t="s">
        <v>433</v>
      </c>
      <c r="C178" s="1" t="s">
        <v>48</v>
      </c>
      <c r="D178" s="1" t="s">
        <v>19</v>
      </c>
      <c r="E178" s="1" t="s">
        <v>37</v>
      </c>
      <c r="F178">
        <v>193540974.03</v>
      </c>
      <c r="G178" s="2">
        <v>48927</v>
      </c>
      <c r="H178">
        <v>1</v>
      </c>
      <c r="I178" s="1" t="s">
        <v>359</v>
      </c>
      <c r="J178" s="1" t="s">
        <v>31</v>
      </c>
      <c r="K178">
        <v>1066088456.3200001</v>
      </c>
      <c r="L178">
        <v>124047908.34999999</v>
      </c>
      <c r="M178">
        <v>62023.95</v>
      </c>
      <c r="N178">
        <v>1850</v>
      </c>
      <c r="O178">
        <v>4</v>
      </c>
      <c r="P178">
        <v>62023.95</v>
      </c>
      <c r="Q178">
        <v>2</v>
      </c>
      <c r="R178">
        <f xml:space="preserve"> (Master_Ledger_Data[[#This Row],[Outstanding_Balance_AUD]]/Master_Ledger_Data[[#This Row],[EVIC_AUD]]) *Master_Ledger_Data[[#This Row],[Estimated_Scope_1_2_Total]]</f>
        <v>11260.018458153918</v>
      </c>
    </row>
    <row r="179" spans="1:18" x14ac:dyDescent="0.3">
      <c r="A179" s="1" t="s">
        <v>371</v>
      </c>
      <c r="B179" t="s">
        <v>434</v>
      </c>
      <c r="C179" s="1" t="s">
        <v>18</v>
      </c>
      <c r="D179" s="1" t="s">
        <v>28</v>
      </c>
      <c r="E179" s="1" t="s">
        <v>37</v>
      </c>
      <c r="F179">
        <v>36438355.649999999</v>
      </c>
      <c r="G179" s="2">
        <v>48205</v>
      </c>
      <c r="H179">
        <v>3</v>
      </c>
      <c r="I179" s="1" t="s">
        <v>372</v>
      </c>
      <c r="J179" s="1" t="s">
        <v>22</v>
      </c>
      <c r="K179">
        <v>1310001946.23</v>
      </c>
      <c r="L179">
        <v>109289348.15000001</v>
      </c>
      <c r="M179">
        <v>4461.59</v>
      </c>
      <c r="N179">
        <v>25</v>
      </c>
      <c r="O179">
        <v>5</v>
      </c>
      <c r="P179">
        <v>4461.59</v>
      </c>
      <c r="Q179">
        <v>5</v>
      </c>
      <c r="R179">
        <f xml:space="preserve"> (Master_Ledger_Data[[#This Row],[Outstanding_Balance_AUD]]/Master_Ledger_Data[[#This Row],[EVIC_AUD]]) *Master_Ledger_Data[[#This Row],[Estimated_Scope_1_2_Total]]</f>
        <v>124.10134477459791</v>
      </c>
    </row>
    <row r="180" spans="1:18" x14ac:dyDescent="0.3">
      <c r="A180" s="1" t="s">
        <v>373</v>
      </c>
      <c r="B180" t="s">
        <v>435</v>
      </c>
      <c r="C180" s="1" t="s">
        <v>80</v>
      </c>
      <c r="D180" s="1" t="s">
        <v>49</v>
      </c>
      <c r="E180" s="1" t="s">
        <v>42</v>
      </c>
      <c r="F180">
        <v>140336500.61000001</v>
      </c>
      <c r="G180" s="2">
        <v>48923</v>
      </c>
      <c r="H180">
        <v>6</v>
      </c>
      <c r="I180" s="1" t="s">
        <v>50</v>
      </c>
      <c r="J180" s="1" t="s">
        <v>39</v>
      </c>
      <c r="K180">
        <v>4805302982.6599998</v>
      </c>
      <c r="L180">
        <v>339960757.44999999</v>
      </c>
      <c r="M180">
        <v>3399.61</v>
      </c>
      <c r="N180">
        <v>15</v>
      </c>
      <c r="O180">
        <v>4</v>
      </c>
      <c r="P180">
        <v>3399.61</v>
      </c>
      <c r="Q180">
        <v>2</v>
      </c>
      <c r="R180">
        <f xml:space="preserve"> (Master_Ledger_Data[[#This Row],[Outstanding_Balance_AUD]]/Master_Ledger_Data[[#This Row],[EVIC_AUD]]) *Master_Ledger_Data[[#This Row],[Estimated_Scope_1_2_Total]]</f>
        <v>99.283931223555641</v>
      </c>
    </row>
    <row r="181" spans="1:18" x14ac:dyDescent="0.3">
      <c r="A181" s="1" t="s">
        <v>374</v>
      </c>
      <c r="B181" t="s">
        <v>436</v>
      </c>
      <c r="C181" s="1" t="s">
        <v>41</v>
      </c>
      <c r="D181" s="1" t="s">
        <v>19</v>
      </c>
      <c r="E181" s="1" t="s">
        <v>20</v>
      </c>
      <c r="F181">
        <v>407385999.51999998</v>
      </c>
      <c r="G181" s="2">
        <v>47721</v>
      </c>
      <c r="H181">
        <v>6</v>
      </c>
      <c r="I181" s="1" t="s">
        <v>375</v>
      </c>
      <c r="J181" s="1" t="s">
        <v>31</v>
      </c>
      <c r="K181">
        <v>448124599.47000003</v>
      </c>
      <c r="L181">
        <v>455608383.91000003</v>
      </c>
      <c r="M181">
        <v>50221.180256410262</v>
      </c>
      <c r="N181">
        <v>732</v>
      </c>
      <c r="O181">
        <v>4.1760000000000002</v>
      </c>
      <c r="P181">
        <v>50221.180256410262</v>
      </c>
      <c r="Q181">
        <v>3.0759493670886076</v>
      </c>
      <c r="R181">
        <f xml:space="preserve"> (Master_Ledger_Data[[#This Row],[Outstanding_Balance_AUD]]/Master_Ledger_Data[[#This Row],[EVIC_AUD]]) *Master_Ledger_Data[[#This Row],[Estimated_Scope_1_2_Total]]</f>
        <v>45655.618415122175</v>
      </c>
    </row>
    <row r="182" spans="1:18" x14ac:dyDescent="0.3">
      <c r="A182" s="1" t="s">
        <v>376</v>
      </c>
      <c r="B182" t="s">
        <v>422</v>
      </c>
      <c r="C182" s="1" t="s">
        <v>69</v>
      </c>
      <c r="D182" s="1" t="s">
        <v>19</v>
      </c>
      <c r="E182" s="1" t="s">
        <v>29</v>
      </c>
      <c r="F182">
        <v>279938694.26999998</v>
      </c>
      <c r="G182" s="2">
        <v>49097</v>
      </c>
      <c r="H182">
        <v>5</v>
      </c>
      <c r="I182" s="1" t="s">
        <v>377</v>
      </c>
      <c r="J182" s="1" t="s">
        <v>22</v>
      </c>
      <c r="K182">
        <v>2862663990.6399999</v>
      </c>
      <c r="L182">
        <v>807658844.23000002</v>
      </c>
      <c r="M182">
        <v>50221.180256410262</v>
      </c>
      <c r="N182">
        <v>732</v>
      </c>
      <c r="O182">
        <v>4.1760000000000002</v>
      </c>
      <c r="P182">
        <v>50221.180256410262</v>
      </c>
      <c r="Q182">
        <v>3.0759493670886076</v>
      </c>
      <c r="R182">
        <f xml:space="preserve"> (Master_Ledger_Data[[#This Row],[Outstanding_Balance_AUD]]/Master_Ledger_Data[[#This Row],[EVIC_AUD]]) *Master_Ledger_Data[[#This Row],[Estimated_Scope_1_2_Total]]</f>
        <v>4911.107860246876</v>
      </c>
    </row>
    <row r="183" spans="1:18" x14ac:dyDescent="0.3">
      <c r="A183" s="1" t="s">
        <v>378</v>
      </c>
      <c r="B183" t="s">
        <v>423</v>
      </c>
      <c r="C183" s="1" t="s">
        <v>45</v>
      </c>
      <c r="D183" s="1" t="s">
        <v>49</v>
      </c>
      <c r="E183" s="1" t="s">
        <v>20</v>
      </c>
      <c r="F183">
        <v>379755195.00999999</v>
      </c>
      <c r="G183" s="2">
        <v>46135</v>
      </c>
      <c r="H183">
        <v>1</v>
      </c>
      <c r="I183" s="1" t="s">
        <v>379</v>
      </c>
      <c r="J183" s="1" t="s">
        <v>39</v>
      </c>
      <c r="K183">
        <v>780017839.36000001</v>
      </c>
      <c r="L183">
        <v>827582158.49000001</v>
      </c>
      <c r="M183">
        <v>50221.180256410262</v>
      </c>
      <c r="N183">
        <v>732</v>
      </c>
      <c r="O183">
        <v>4.1760000000000002</v>
      </c>
      <c r="P183">
        <v>50221.180256410262</v>
      </c>
      <c r="Q183">
        <v>3.0759493670886076</v>
      </c>
      <c r="R183">
        <f xml:space="preserve"> (Master_Ledger_Data[[#This Row],[Outstanding_Balance_AUD]]/Master_Ledger_Data[[#This Row],[EVIC_AUD]]) *Master_Ledger_Data[[#This Row],[Estimated_Scope_1_2_Total]]</f>
        <v>24450.407592669548</v>
      </c>
    </row>
    <row r="184" spans="1:18" x14ac:dyDescent="0.3">
      <c r="A184" s="1" t="s">
        <v>380</v>
      </c>
      <c r="B184" t="s">
        <v>424</v>
      </c>
      <c r="C184" s="1" t="s">
        <v>36</v>
      </c>
      <c r="D184" s="1" t="s">
        <v>24</v>
      </c>
      <c r="E184" s="1" t="s">
        <v>20</v>
      </c>
      <c r="F184">
        <v>228019346.97999999</v>
      </c>
      <c r="G184" s="2">
        <v>47954</v>
      </c>
      <c r="H184">
        <v>1</v>
      </c>
      <c r="I184" s="1" t="s">
        <v>381</v>
      </c>
      <c r="J184" s="1" t="s">
        <v>31</v>
      </c>
      <c r="K184">
        <v>2998856939.8899999</v>
      </c>
      <c r="L184">
        <v>178742993.53</v>
      </c>
      <c r="M184">
        <v>50059.561999999991</v>
      </c>
      <c r="N184">
        <v>280</v>
      </c>
      <c r="O184">
        <v>4</v>
      </c>
      <c r="P184">
        <v>50059.561999999991</v>
      </c>
      <c r="Q184">
        <v>4</v>
      </c>
      <c r="R184">
        <f xml:space="preserve"> (Master_Ledger_Data[[#This Row],[Outstanding_Balance_AUD]]/Master_Ledger_Data[[#This Row],[EVIC_AUD]]) *Master_Ledger_Data[[#This Row],[Estimated_Scope_1_2_Total]]</f>
        <v>3806.2998222794563</v>
      </c>
    </row>
    <row r="185" spans="1:18" x14ac:dyDescent="0.3">
      <c r="A185" s="1" t="s">
        <v>382</v>
      </c>
      <c r="B185" t="s">
        <v>425</v>
      </c>
      <c r="C185" s="1" t="s">
        <v>80</v>
      </c>
      <c r="D185" s="1" t="s">
        <v>19</v>
      </c>
      <c r="E185" s="1" t="s">
        <v>20</v>
      </c>
      <c r="F185">
        <v>140992239.53</v>
      </c>
      <c r="G185" s="2">
        <v>47522</v>
      </c>
      <c r="H185">
        <v>1</v>
      </c>
      <c r="I185" s="1" t="s">
        <v>298</v>
      </c>
      <c r="J185" s="1" t="s">
        <v>39</v>
      </c>
      <c r="K185">
        <v>4145850842.1599998</v>
      </c>
      <c r="L185">
        <v>342723368.97000003</v>
      </c>
      <c r="M185">
        <v>3427.23</v>
      </c>
      <c r="N185">
        <v>15</v>
      </c>
      <c r="O185">
        <v>4</v>
      </c>
      <c r="P185">
        <v>3427.23</v>
      </c>
      <c r="Q185">
        <v>2</v>
      </c>
      <c r="R185">
        <f xml:space="preserve"> (Master_Ledger_Data[[#This Row],[Outstanding_Balance_AUD]]/Master_Ledger_Data[[#This Row],[EVIC_AUD]]) *Master_Ledger_Data[[#This Row],[Estimated_Scope_1_2_Total]]</f>
        <v>116.55335695402071</v>
      </c>
    </row>
    <row r="186" spans="1:18" x14ac:dyDescent="0.3">
      <c r="A186" s="1" t="s">
        <v>383</v>
      </c>
      <c r="B186" t="s">
        <v>426</v>
      </c>
      <c r="C186" s="1" t="s">
        <v>36</v>
      </c>
      <c r="D186" s="1" t="s">
        <v>49</v>
      </c>
      <c r="E186" s="1" t="s">
        <v>29</v>
      </c>
      <c r="F186">
        <v>379714570.43000001</v>
      </c>
      <c r="G186" s="2">
        <v>48134</v>
      </c>
      <c r="H186">
        <v>8</v>
      </c>
      <c r="I186" s="1" t="s">
        <v>384</v>
      </c>
      <c r="J186" s="1" t="s">
        <v>31</v>
      </c>
      <c r="K186">
        <v>11479421671.860001</v>
      </c>
      <c r="L186">
        <v>713774955.72000003</v>
      </c>
      <c r="M186">
        <v>107066.24000000001</v>
      </c>
      <c r="N186">
        <v>280</v>
      </c>
      <c r="O186">
        <v>4</v>
      </c>
      <c r="P186">
        <v>107066.24000000001</v>
      </c>
      <c r="Q186">
        <v>2</v>
      </c>
      <c r="R186">
        <f xml:space="preserve"> (Master_Ledger_Data[[#This Row],[Outstanding_Balance_AUD]]/Master_Ledger_Data[[#This Row],[EVIC_AUD]]) *Master_Ledger_Data[[#This Row],[Estimated_Scope_1_2_Total]]</f>
        <v>3541.5208615268207</v>
      </c>
    </row>
    <row r="187" spans="1:18" x14ac:dyDescent="0.3">
      <c r="A187" s="1" t="s">
        <v>385</v>
      </c>
      <c r="B187" t="s">
        <v>427</v>
      </c>
      <c r="C187" s="1" t="s">
        <v>45</v>
      </c>
      <c r="D187" s="1" t="s">
        <v>19</v>
      </c>
      <c r="E187" s="1" t="s">
        <v>42</v>
      </c>
      <c r="F187">
        <v>337428731.81999999</v>
      </c>
      <c r="G187" s="2">
        <v>46726</v>
      </c>
      <c r="H187">
        <v>6</v>
      </c>
      <c r="I187" s="1" t="s">
        <v>386</v>
      </c>
      <c r="J187" s="1" t="s">
        <v>39</v>
      </c>
      <c r="K187">
        <v>391099290.17000002</v>
      </c>
      <c r="L187">
        <v>509081145.55000001</v>
      </c>
      <c r="M187">
        <v>50221.180256410262</v>
      </c>
      <c r="N187">
        <v>732</v>
      </c>
      <c r="O187">
        <v>4.1760000000000002</v>
      </c>
      <c r="P187">
        <v>50221.180256410262</v>
      </c>
      <c r="Q187">
        <v>3.0759493670886076</v>
      </c>
      <c r="R187">
        <f xml:space="preserve"> (Master_Ledger_Data[[#This Row],[Outstanding_Balance_AUD]]/Master_Ledger_Data[[#This Row],[EVIC_AUD]]) *Master_Ledger_Data[[#This Row],[Estimated_Scope_1_2_Total]]</f>
        <v>43329.327335414368</v>
      </c>
    </row>
    <row r="188" spans="1:18" x14ac:dyDescent="0.3">
      <c r="A188" s="1" t="s">
        <v>387</v>
      </c>
      <c r="B188" t="s">
        <v>428</v>
      </c>
      <c r="C188" s="1" t="s">
        <v>36</v>
      </c>
      <c r="D188" s="1" t="s">
        <v>19</v>
      </c>
      <c r="E188" s="1" t="s">
        <v>42</v>
      </c>
      <c r="F188">
        <v>416528887.57999998</v>
      </c>
      <c r="G188" s="2">
        <v>49430</v>
      </c>
      <c r="H188">
        <v>1</v>
      </c>
      <c r="I188" s="1" t="s">
        <v>388</v>
      </c>
      <c r="J188" s="1" t="s">
        <v>31</v>
      </c>
      <c r="K188">
        <v>16366776960.889999</v>
      </c>
      <c r="L188">
        <v>994605646.48000002</v>
      </c>
      <c r="M188">
        <v>149190.85</v>
      </c>
      <c r="N188">
        <v>280</v>
      </c>
      <c r="O188">
        <v>4</v>
      </c>
      <c r="P188">
        <v>149190.85</v>
      </c>
      <c r="Q188">
        <v>2</v>
      </c>
      <c r="R188">
        <f xml:space="preserve"> (Master_Ledger_Data[[#This Row],[Outstanding_Balance_AUD]]/Master_Ledger_Data[[#This Row],[EVIC_AUD]]) *Master_Ledger_Data[[#This Row],[Estimated_Scope_1_2_Total]]</f>
        <v>3796.8562128090148</v>
      </c>
    </row>
    <row r="189" spans="1:18" x14ac:dyDescent="0.3">
      <c r="A189" s="1" t="s">
        <v>389</v>
      </c>
      <c r="B189" t="s">
        <v>429</v>
      </c>
      <c r="C189" s="1" t="s">
        <v>27</v>
      </c>
      <c r="D189" s="1" t="s">
        <v>24</v>
      </c>
      <c r="E189" s="1" t="s">
        <v>20</v>
      </c>
      <c r="F189">
        <v>484147013.88999999</v>
      </c>
      <c r="G189" s="2">
        <v>49090</v>
      </c>
      <c r="H189">
        <v>9</v>
      </c>
      <c r="I189" s="1" t="s">
        <v>390</v>
      </c>
      <c r="J189" s="1" t="s">
        <v>22</v>
      </c>
      <c r="K189">
        <v>1452263121.1800001</v>
      </c>
      <c r="L189">
        <v>499838414.10000002</v>
      </c>
      <c r="M189">
        <v>31523.905999999999</v>
      </c>
      <c r="N189">
        <v>850</v>
      </c>
      <c r="O189">
        <v>4</v>
      </c>
      <c r="P189">
        <v>31523.905999999999</v>
      </c>
      <c r="Q189">
        <v>4</v>
      </c>
      <c r="R189">
        <f xml:space="preserve"> (Master_Ledger_Data[[#This Row],[Outstanding_Balance_AUD]]/Master_Ledger_Data[[#This Row],[EVIC_AUD]]) *Master_Ledger_Data[[#This Row],[Estimated_Scope_1_2_Total]]</f>
        <v>10509.256024933093</v>
      </c>
    </row>
    <row r="190" spans="1:18" x14ac:dyDescent="0.3">
      <c r="A190" s="1" t="s">
        <v>391</v>
      </c>
      <c r="B190" t="s">
        <v>430</v>
      </c>
      <c r="C190" s="1" t="s">
        <v>69</v>
      </c>
      <c r="D190" s="1" t="s">
        <v>28</v>
      </c>
      <c r="E190" s="1" t="s">
        <v>42</v>
      </c>
      <c r="F190">
        <v>71337538.079999998</v>
      </c>
      <c r="G190" s="2">
        <v>49427</v>
      </c>
      <c r="H190">
        <v>7</v>
      </c>
      <c r="I190" s="1" t="s">
        <v>392</v>
      </c>
      <c r="J190" s="1" t="s">
        <v>31</v>
      </c>
      <c r="K190">
        <v>345867209.25999999</v>
      </c>
      <c r="L190">
        <v>98193902.359999999</v>
      </c>
      <c r="M190">
        <v>50221.180256410262</v>
      </c>
      <c r="N190">
        <v>732</v>
      </c>
      <c r="O190">
        <v>4.1760000000000002</v>
      </c>
      <c r="P190">
        <v>50221.180256410262</v>
      </c>
      <c r="Q190">
        <v>3.0759493670886076</v>
      </c>
      <c r="R190">
        <f xml:space="preserve"> (Master_Ledger_Data[[#This Row],[Outstanding_Balance_AUD]]/Master_Ledger_Data[[#This Row],[EVIC_AUD]]) *Master_Ledger_Data[[#This Row],[Estimated_Scope_1_2_Total]]</f>
        <v>10358.470716635669</v>
      </c>
    </row>
    <row r="191" spans="1:18" x14ac:dyDescent="0.3">
      <c r="A191" s="1" t="s">
        <v>393</v>
      </c>
      <c r="B191" t="s">
        <v>431</v>
      </c>
      <c r="C191" s="1" t="s">
        <v>33</v>
      </c>
      <c r="D191" s="1" t="s">
        <v>28</v>
      </c>
      <c r="E191" s="1" t="s">
        <v>42</v>
      </c>
      <c r="F191">
        <v>393410790.64999998</v>
      </c>
      <c r="G191" s="2">
        <v>46630</v>
      </c>
      <c r="H191">
        <v>3</v>
      </c>
      <c r="I191" s="1" t="s">
        <v>234</v>
      </c>
      <c r="J191" s="1" t="s">
        <v>22</v>
      </c>
      <c r="K191">
        <v>1238165326.3900001</v>
      </c>
      <c r="L191">
        <v>626973782.73000002</v>
      </c>
      <c r="M191">
        <v>50221.180256410262</v>
      </c>
      <c r="N191">
        <v>732</v>
      </c>
      <c r="O191">
        <v>4.1760000000000002</v>
      </c>
      <c r="P191">
        <v>50221.180256410262</v>
      </c>
      <c r="Q191">
        <v>3.0759493670886076</v>
      </c>
      <c r="R191">
        <f xml:space="preserve"> (Master_Ledger_Data[[#This Row],[Outstanding_Balance_AUD]]/Master_Ledger_Data[[#This Row],[EVIC_AUD]]) *Master_Ledger_Data[[#This Row],[Estimated_Scope_1_2_Total]]</f>
        <v>15957.121242973048</v>
      </c>
    </row>
    <row r="192" spans="1:18" x14ac:dyDescent="0.3">
      <c r="A192" s="1" t="s">
        <v>394</v>
      </c>
      <c r="B192" t="s">
        <v>432</v>
      </c>
      <c r="C192" s="1" t="s">
        <v>66</v>
      </c>
      <c r="D192" s="1" t="s">
        <v>24</v>
      </c>
      <c r="E192" s="1" t="s">
        <v>29</v>
      </c>
      <c r="F192">
        <v>72503880.420000002</v>
      </c>
      <c r="G192" s="2">
        <v>46816</v>
      </c>
      <c r="H192">
        <v>2</v>
      </c>
      <c r="I192" s="1" t="s">
        <v>395</v>
      </c>
      <c r="J192" s="1" t="s">
        <v>22</v>
      </c>
      <c r="K192">
        <v>907838752.53999996</v>
      </c>
      <c r="L192">
        <v>129417521.36</v>
      </c>
      <c r="M192">
        <v>56434.683999999994</v>
      </c>
      <c r="N192">
        <v>1200</v>
      </c>
      <c r="O192">
        <v>4</v>
      </c>
      <c r="P192">
        <v>56434.683999999994</v>
      </c>
      <c r="Q192">
        <v>4</v>
      </c>
      <c r="R192">
        <f xml:space="preserve"> (Master_Ledger_Data[[#This Row],[Outstanding_Balance_AUD]]/Master_Ledger_Data[[#This Row],[EVIC_AUD]]) *Master_Ledger_Data[[#This Row],[Estimated_Scope_1_2_Total]]</f>
        <v>4507.1149131147076</v>
      </c>
    </row>
    <row r="193" spans="1:18" x14ac:dyDescent="0.3">
      <c r="A193" s="1" t="s">
        <v>396</v>
      </c>
      <c r="B193" t="s">
        <v>433</v>
      </c>
      <c r="C193" s="1" t="s">
        <v>48</v>
      </c>
      <c r="D193" s="1" t="s">
        <v>28</v>
      </c>
      <c r="E193" s="1" t="s">
        <v>20</v>
      </c>
      <c r="F193">
        <v>306003485.51999998</v>
      </c>
      <c r="G193" s="2">
        <v>48898</v>
      </c>
      <c r="H193">
        <v>3</v>
      </c>
      <c r="I193" s="1" t="s">
        <v>397</v>
      </c>
      <c r="J193" s="1" t="s">
        <v>22</v>
      </c>
      <c r="K193">
        <v>5400451571.1400003</v>
      </c>
      <c r="L193">
        <v>628903489.16999996</v>
      </c>
      <c r="M193">
        <v>314451.74</v>
      </c>
      <c r="N193">
        <v>1850</v>
      </c>
      <c r="O193">
        <v>4</v>
      </c>
      <c r="P193">
        <v>314451.74</v>
      </c>
      <c r="Q193">
        <v>2</v>
      </c>
      <c r="R193">
        <f xml:space="preserve"> (Master_Ledger_Data[[#This Row],[Outstanding_Balance_AUD]]/Master_Ledger_Data[[#This Row],[EVIC_AUD]]) *Master_Ledger_Data[[#This Row],[Estimated_Scope_1_2_Total]]</f>
        <v>17817.644913630189</v>
      </c>
    </row>
    <row r="194" spans="1:18" x14ac:dyDescent="0.3">
      <c r="A194" s="1" t="s">
        <v>398</v>
      </c>
      <c r="B194" t="s">
        <v>434</v>
      </c>
      <c r="C194" s="1" t="s">
        <v>48</v>
      </c>
      <c r="D194" s="1" t="s">
        <v>19</v>
      </c>
      <c r="E194" s="1" t="s">
        <v>29</v>
      </c>
      <c r="F194">
        <v>364566531.16000003</v>
      </c>
      <c r="G194" s="2">
        <v>46301</v>
      </c>
      <c r="H194">
        <v>6</v>
      </c>
      <c r="I194" s="1" t="s">
        <v>399</v>
      </c>
      <c r="J194" s="1" t="s">
        <v>39</v>
      </c>
      <c r="K194">
        <v>2777288672.02</v>
      </c>
      <c r="L194">
        <v>316328437.5</v>
      </c>
      <c r="M194">
        <v>159987.52599999998</v>
      </c>
      <c r="N194">
        <v>1850</v>
      </c>
      <c r="O194">
        <v>4</v>
      </c>
      <c r="P194">
        <v>159987.52599999998</v>
      </c>
      <c r="Q194">
        <v>4</v>
      </c>
      <c r="R194">
        <f xml:space="preserve"> (Master_Ledger_Data[[#This Row],[Outstanding_Balance_AUD]]/Master_Ledger_Data[[#This Row],[EVIC_AUD]]) *Master_Ledger_Data[[#This Row],[Estimated_Scope_1_2_Total]]</f>
        <v>21001.09288973123</v>
      </c>
    </row>
    <row r="195" spans="1:18" x14ac:dyDescent="0.3">
      <c r="A195" s="1" t="s">
        <v>400</v>
      </c>
      <c r="B195" t="s">
        <v>435</v>
      </c>
      <c r="C195" s="1" t="s">
        <v>18</v>
      </c>
      <c r="D195" s="1" t="s">
        <v>28</v>
      </c>
      <c r="E195" s="1" t="s">
        <v>20</v>
      </c>
      <c r="F195">
        <v>392908241.31</v>
      </c>
      <c r="G195" s="2">
        <v>47072</v>
      </c>
      <c r="H195">
        <v>7</v>
      </c>
      <c r="I195" s="1" t="s">
        <v>401</v>
      </c>
      <c r="J195" s="1" t="s">
        <v>31</v>
      </c>
      <c r="K195">
        <v>4427624665.1599998</v>
      </c>
      <c r="L195">
        <v>450119991.74000001</v>
      </c>
      <c r="M195">
        <v>9002.4</v>
      </c>
      <c r="N195">
        <v>25</v>
      </c>
      <c r="O195">
        <v>5</v>
      </c>
      <c r="P195">
        <v>9002.4</v>
      </c>
      <c r="Q195">
        <v>2</v>
      </c>
      <c r="R195">
        <f xml:space="preserve"> (Master_Ledger_Data[[#This Row],[Outstanding_Balance_AUD]]/Master_Ledger_Data[[#This Row],[EVIC_AUD]]) *Master_Ledger_Data[[#This Row],[Estimated_Scope_1_2_Total]]</f>
        <v>798.87466058311975</v>
      </c>
    </row>
    <row r="196" spans="1:18" x14ac:dyDescent="0.3">
      <c r="A196" s="1" t="s">
        <v>402</v>
      </c>
      <c r="B196" t="s">
        <v>436</v>
      </c>
      <c r="C196" s="1" t="s">
        <v>80</v>
      </c>
      <c r="D196" s="1" t="s">
        <v>28</v>
      </c>
      <c r="E196" s="1" t="s">
        <v>29</v>
      </c>
      <c r="F196">
        <v>431870035.82999998</v>
      </c>
      <c r="G196" s="2">
        <v>48233</v>
      </c>
      <c r="H196">
        <v>4</v>
      </c>
      <c r="I196" s="1" t="s">
        <v>403</v>
      </c>
      <c r="J196" s="1" t="s">
        <v>39</v>
      </c>
      <c r="K196">
        <v>8358942154.9300003</v>
      </c>
      <c r="L196">
        <v>747802502.66999996</v>
      </c>
      <c r="M196">
        <v>7478.03</v>
      </c>
      <c r="N196">
        <v>15</v>
      </c>
      <c r="O196">
        <v>4</v>
      </c>
      <c r="P196">
        <v>7478.03</v>
      </c>
      <c r="Q196">
        <v>2</v>
      </c>
      <c r="R196">
        <f xml:space="preserve"> (Master_Ledger_Data[[#This Row],[Outstanding_Balance_AUD]]/Master_Ledger_Data[[#This Row],[EVIC_AUD]]) *Master_Ledger_Data[[#This Row],[Estimated_Scope_1_2_Total]]</f>
        <v>386.35715191940574</v>
      </c>
    </row>
    <row r="197" spans="1:18" x14ac:dyDescent="0.3">
      <c r="A197" s="1" t="s">
        <v>404</v>
      </c>
      <c r="B197" t="s">
        <v>422</v>
      </c>
      <c r="C197" s="1" t="s">
        <v>48</v>
      </c>
      <c r="D197" s="1" t="s">
        <v>24</v>
      </c>
      <c r="E197" s="1" t="s">
        <v>29</v>
      </c>
      <c r="F197">
        <v>463660874.44999999</v>
      </c>
      <c r="G197" s="2">
        <v>47406</v>
      </c>
      <c r="H197">
        <v>1</v>
      </c>
      <c r="I197" s="1" t="s">
        <v>405</v>
      </c>
      <c r="J197" s="1" t="s">
        <v>22</v>
      </c>
      <c r="K197">
        <v>3177289981.48</v>
      </c>
      <c r="L197">
        <v>510195756.22000003</v>
      </c>
      <c r="M197">
        <v>159987.52599999998</v>
      </c>
      <c r="N197">
        <v>1850</v>
      </c>
      <c r="O197">
        <v>4</v>
      </c>
      <c r="P197">
        <v>159987.52599999998</v>
      </c>
      <c r="Q197">
        <v>4</v>
      </c>
      <c r="R197">
        <f xml:space="preserve"> (Master_Ledger_Data[[#This Row],[Outstanding_Balance_AUD]]/Master_Ledger_Data[[#This Row],[EVIC_AUD]]) *Master_Ledger_Data[[#This Row],[Estimated_Scope_1_2_Total]]</f>
        <v>23346.926669783741</v>
      </c>
    </row>
    <row r="198" spans="1:18" x14ac:dyDescent="0.3">
      <c r="A198" s="1" t="s">
        <v>406</v>
      </c>
      <c r="B198" t="s">
        <v>423</v>
      </c>
      <c r="C198" s="1" t="s">
        <v>18</v>
      </c>
      <c r="D198" s="1" t="s">
        <v>24</v>
      </c>
      <c r="E198" s="1" t="s">
        <v>29</v>
      </c>
      <c r="F198">
        <v>37786809.039999999</v>
      </c>
      <c r="G198" s="2">
        <v>46121</v>
      </c>
      <c r="H198">
        <v>2</v>
      </c>
      <c r="I198" s="1" t="s">
        <v>407</v>
      </c>
      <c r="J198" s="1" t="s">
        <v>22</v>
      </c>
      <c r="K198">
        <v>266745671.86000001</v>
      </c>
      <c r="L198">
        <v>30989513.68</v>
      </c>
      <c r="M198">
        <v>4461.59</v>
      </c>
      <c r="N198">
        <v>25</v>
      </c>
      <c r="O198">
        <v>5</v>
      </c>
      <c r="P198">
        <v>4461.59</v>
      </c>
      <c r="Q198">
        <v>5</v>
      </c>
      <c r="R198">
        <f xml:space="preserve"> (Master_Ledger_Data[[#This Row],[Outstanding_Balance_AUD]]/Master_Ledger_Data[[#This Row],[EVIC_AUD]]) *Master_Ledger_Data[[#This Row],[Estimated_Scope_1_2_Total]]</f>
        <v>632.02243608757317</v>
      </c>
    </row>
    <row r="199" spans="1:18" x14ac:dyDescent="0.3">
      <c r="A199" s="1" t="s">
        <v>408</v>
      </c>
      <c r="B199" t="s">
        <v>424</v>
      </c>
      <c r="C199" s="1" t="s">
        <v>66</v>
      </c>
      <c r="D199" s="1" t="s">
        <v>24</v>
      </c>
      <c r="E199" s="1" t="s">
        <v>37</v>
      </c>
      <c r="F199">
        <v>248845956.53</v>
      </c>
      <c r="G199" s="2">
        <v>46257</v>
      </c>
      <c r="H199">
        <v>3</v>
      </c>
      <c r="I199" s="1" t="s">
        <v>409</v>
      </c>
      <c r="J199" s="1" t="s">
        <v>31</v>
      </c>
      <c r="K199">
        <v>2876294328.0500002</v>
      </c>
      <c r="L199">
        <v>523120700.48000002</v>
      </c>
      <c r="M199">
        <v>56434.683999999994</v>
      </c>
      <c r="N199">
        <v>1200</v>
      </c>
      <c r="O199">
        <v>4</v>
      </c>
      <c r="P199">
        <v>56434.683999999994</v>
      </c>
      <c r="Q199">
        <v>4</v>
      </c>
      <c r="R199">
        <f xml:space="preserve"> (Master_Ledger_Data[[#This Row],[Outstanding_Balance_AUD]]/Master_Ledger_Data[[#This Row],[EVIC_AUD]]) *Master_Ledger_Data[[#This Row],[Estimated_Scope_1_2_Total]]</f>
        <v>4882.5124690800276</v>
      </c>
    </row>
    <row r="200" spans="1:18" x14ac:dyDescent="0.3">
      <c r="A200" s="1" t="s">
        <v>410</v>
      </c>
      <c r="B200" t="s">
        <v>425</v>
      </c>
      <c r="C200" s="1" t="s">
        <v>18</v>
      </c>
      <c r="D200" s="1" t="s">
        <v>24</v>
      </c>
      <c r="E200" s="1" t="s">
        <v>20</v>
      </c>
      <c r="F200">
        <v>68795462.349999994</v>
      </c>
      <c r="G200" s="2">
        <v>49307</v>
      </c>
      <c r="H200">
        <v>6</v>
      </c>
      <c r="I200" s="1" t="s">
        <v>411</v>
      </c>
      <c r="J200" s="1" t="s">
        <v>31</v>
      </c>
      <c r="K200">
        <v>1866704642.9100001</v>
      </c>
      <c r="L200">
        <v>188635164.40000001</v>
      </c>
      <c r="M200">
        <v>3772.7</v>
      </c>
      <c r="N200">
        <v>25</v>
      </c>
      <c r="O200">
        <v>5</v>
      </c>
      <c r="P200">
        <v>3772.7</v>
      </c>
      <c r="Q200">
        <v>2</v>
      </c>
      <c r="R200">
        <f xml:space="preserve"> (Master_Ledger_Data[[#This Row],[Outstanding_Balance_AUD]]/Master_Ledger_Data[[#This Row],[EVIC_AUD]]) *Master_Ledger_Data[[#This Row],[Estimated_Scope_1_2_Total]]</f>
        <v>139.03894319523502</v>
      </c>
    </row>
    <row r="201" spans="1:18" x14ac:dyDescent="0.3">
      <c r="A201" s="1" t="s">
        <v>412</v>
      </c>
      <c r="B201" t="s">
        <v>426</v>
      </c>
      <c r="C201" s="1" t="s">
        <v>33</v>
      </c>
      <c r="D201" s="1" t="s">
        <v>28</v>
      </c>
      <c r="E201" s="1" t="s">
        <v>37</v>
      </c>
      <c r="F201">
        <v>94133299.810000002</v>
      </c>
      <c r="G201" s="2">
        <v>49000</v>
      </c>
      <c r="H201">
        <v>8</v>
      </c>
      <c r="I201" s="1" t="s">
        <v>413</v>
      </c>
      <c r="J201" s="1" t="s">
        <v>39</v>
      </c>
      <c r="K201">
        <v>130618962.11</v>
      </c>
      <c r="L201">
        <v>87619245.150000006</v>
      </c>
      <c r="M201">
        <v>50221.180256410262</v>
      </c>
      <c r="N201">
        <v>732</v>
      </c>
      <c r="O201">
        <v>4.1760000000000002</v>
      </c>
      <c r="P201">
        <v>50221.180256410262</v>
      </c>
      <c r="Q201">
        <v>3.0759493670886076</v>
      </c>
      <c r="R201">
        <f xml:space="preserve"> (Master_Ledger_Data[[#This Row],[Outstanding_Balance_AUD]]/Master_Ledger_Data[[#This Row],[EVIC_AUD]]) *Master_Ledger_Data[[#This Row],[Estimated_Scope_1_2_Total]]</f>
        <v>36192.948876040646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23B53-3E4D-45F2-9C44-44623110B1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Master_Ledger_Data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Sayandip Ghosh</dc:creator>
  <cp:lastModifiedBy>Sayandip Ghosh</cp:lastModifiedBy>
  <dcterms:created xsi:type="dcterms:W3CDTF">2026-02-04T18:41:14Z</dcterms:created>
  <dcterms:modified xsi:type="dcterms:W3CDTF">2026-02-04T19:24:05Z</dcterms:modified>
</cp:coreProperties>
</file>